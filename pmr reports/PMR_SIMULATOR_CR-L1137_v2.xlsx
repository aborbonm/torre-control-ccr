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dbg-my.sharepoint.com/personal/alvarobo_iadb_org/Documents/Documents/GitHub/torre-control-ccr/pmr reports/"/>
    </mc:Choice>
  </mc:AlternateContent>
  <xr:revisionPtr revIDLastSave="1" documentId="11_99729B5269E35A7D2EF81072344C2B932B522391" xr6:coauthVersionLast="47" xr6:coauthVersionMax="47" xr10:uidLastSave="{2B8984CA-EA3E-4F88-A7BC-4C2D9CE16B0E}"/>
  <bookViews>
    <workbookView xWindow="1020" yWindow="1005" windowWidth="27825" windowHeight="14325" tabRatio="500" activeTab="1" xr2:uid="{00000000-000D-0000-FFFF-FFFF00000000}"/>
  </bookViews>
  <sheets>
    <sheet name="Instrucciones" sheetId="1" r:id="rId1"/>
    <sheet name="Resultados" sheetId="2" r:id="rId2"/>
    <sheet name="Escenarios" sheetId="3" r:id="rId3"/>
    <sheet name="Parametros" sheetId="4" r:id="rId4"/>
    <sheet name="Fisico" sheetId="5" r:id="rId5"/>
    <sheet name="Financiero" sheetId="6" r:id="rId6"/>
    <sheet name="Hitos" sheetId="7" r:id="rId7"/>
    <sheet name="Calculo" sheetId="8" r:id="rId8"/>
    <sheet name="Curva_C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5" i="8" l="1"/>
  <c r="F125" i="8"/>
  <c r="D125" i="8"/>
  <c r="C125" i="8"/>
  <c r="E125" i="8" s="1"/>
  <c r="B125" i="8"/>
  <c r="A125" i="8"/>
  <c r="G124" i="8"/>
  <c r="F124" i="8"/>
  <c r="H124" i="8" s="1"/>
  <c r="D124" i="8"/>
  <c r="C124" i="8"/>
  <c r="E124" i="8" s="1"/>
  <c r="B124" i="8"/>
  <c r="A124" i="8"/>
  <c r="G123" i="8"/>
  <c r="I123" i="8" s="1"/>
  <c r="F123" i="8"/>
  <c r="H123" i="8" s="1"/>
  <c r="D123" i="8"/>
  <c r="E123" i="8" s="1"/>
  <c r="C123" i="8"/>
  <c r="B123" i="8"/>
  <c r="A123" i="8"/>
  <c r="G122" i="8"/>
  <c r="F122" i="8"/>
  <c r="D122" i="8"/>
  <c r="C122" i="8"/>
  <c r="E122" i="8" s="1"/>
  <c r="B122" i="8"/>
  <c r="A122" i="8"/>
  <c r="G121" i="8"/>
  <c r="F121" i="8"/>
  <c r="D121" i="8"/>
  <c r="C121" i="8"/>
  <c r="E121" i="8" s="1"/>
  <c r="B121" i="8"/>
  <c r="A121" i="8"/>
  <c r="D116" i="8"/>
  <c r="I115" i="8"/>
  <c r="H115" i="8"/>
  <c r="K115" i="8" s="1"/>
  <c r="G115" i="8"/>
  <c r="J115" i="8" s="1"/>
  <c r="F115" i="8"/>
  <c r="E115" i="8"/>
  <c r="D115" i="8"/>
  <c r="C115" i="8"/>
  <c r="B115" i="8"/>
  <c r="I114" i="8"/>
  <c r="K114" i="8" s="1"/>
  <c r="H114" i="8"/>
  <c r="G114" i="8"/>
  <c r="F114" i="8"/>
  <c r="E114" i="8"/>
  <c r="D114" i="8"/>
  <c r="C114" i="8"/>
  <c r="B114" i="8"/>
  <c r="J113" i="8"/>
  <c r="L113" i="8" s="1"/>
  <c r="I113" i="8"/>
  <c r="H113" i="8"/>
  <c r="K113" i="8" s="1"/>
  <c r="M113" i="8" s="1"/>
  <c r="G113" i="8"/>
  <c r="F113" i="8"/>
  <c r="E113" i="8"/>
  <c r="D113" i="8"/>
  <c r="C113" i="8"/>
  <c r="B113" i="8"/>
  <c r="I112" i="8"/>
  <c r="K112" i="8" s="1"/>
  <c r="M112" i="8" s="1"/>
  <c r="H112" i="8"/>
  <c r="G112" i="8"/>
  <c r="F112" i="8"/>
  <c r="E112" i="8"/>
  <c r="D112" i="8"/>
  <c r="C112" i="8"/>
  <c r="B112" i="8"/>
  <c r="I111" i="8"/>
  <c r="J111" i="8" s="1"/>
  <c r="L111" i="8" s="1"/>
  <c r="H111" i="8"/>
  <c r="K111" i="8" s="1"/>
  <c r="M111" i="8" s="1"/>
  <c r="G111" i="8"/>
  <c r="F111" i="8"/>
  <c r="E111" i="8"/>
  <c r="D111" i="8"/>
  <c r="C111" i="8"/>
  <c r="B111" i="8"/>
  <c r="I110" i="8"/>
  <c r="J110" i="8" s="1"/>
  <c r="L110" i="8" s="1"/>
  <c r="H110" i="8"/>
  <c r="K110" i="8" s="1"/>
  <c r="M110" i="8" s="1"/>
  <c r="G110" i="8"/>
  <c r="F110" i="8"/>
  <c r="E110" i="8"/>
  <c r="D110" i="8"/>
  <c r="C110" i="8"/>
  <c r="B110" i="8"/>
  <c r="I109" i="8"/>
  <c r="J109" i="8" s="1"/>
  <c r="L109" i="8" s="1"/>
  <c r="H109" i="8"/>
  <c r="K109" i="8" s="1"/>
  <c r="M109" i="8" s="1"/>
  <c r="G109" i="8"/>
  <c r="F109" i="8"/>
  <c r="E109" i="8"/>
  <c r="D109" i="8"/>
  <c r="C109" i="8"/>
  <c r="B109" i="8"/>
  <c r="J108" i="8"/>
  <c r="L108" i="8" s="1"/>
  <c r="I108" i="8"/>
  <c r="H108" i="8"/>
  <c r="K108" i="8" s="1"/>
  <c r="M108" i="8" s="1"/>
  <c r="G108" i="8"/>
  <c r="F108" i="8"/>
  <c r="E108" i="8"/>
  <c r="D108" i="8"/>
  <c r="C108" i="8"/>
  <c r="B108" i="8"/>
  <c r="I107" i="8"/>
  <c r="J107" i="8" s="1"/>
  <c r="H107" i="8"/>
  <c r="G107" i="8"/>
  <c r="F107" i="8"/>
  <c r="E107" i="8"/>
  <c r="D107" i="8"/>
  <c r="C107" i="8"/>
  <c r="B107" i="8"/>
  <c r="I106" i="8"/>
  <c r="J106" i="8" s="1"/>
  <c r="L106" i="8" s="1"/>
  <c r="H106" i="8"/>
  <c r="K106" i="8" s="1"/>
  <c r="M106" i="8" s="1"/>
  <c r="G106" i="8"/>
  <c r="F106" i="8"/>
  <c r="E106" i="8"/>
  <c r="D106" i="8"/>
  <c r="C106" i="8"/>
  <c r="B106" i="8"/>
  <c r="I105" i="8"/>
  <c r="J105" i="8" s="1"/>
  <c r="L105" i="8" s="1"/>
  <c r="H105" i="8"/>
  <c r="K105" i="8" s="1"/>
  <c r="M105" i="8" s="1"/>
  <c r="G105" i="8"/>
  <c r="F105" i="8"/>
  <c r="E105" i="8"/>
  <c r="D105" i="8"/>
  <c r="C105" i="8"/>
  <c r="B105" i="8"/>
  <c r="I104" i="8"/>
  <c r="J104" i="8" s="1"/>
  <c r="L104" i="8" s="1"/>
  <c r="H104" i="8"/>
  <c r="K104" i="8" s="1"/>
  <c r="M104" i="8" s="1"/>
  <c r="G104" i="8"/>
  <c r="F104" i="8"/>
  <c r="E104" i="8"/>
  <c r="D104" i="8"/>
  <c r="C104" i="8"/>
  <c r="B104" i="8"/>
  <c r="I103" i="8"/>
  <c r="J103" i="8" s="1"/>
  <c r="L103" i="8" s="1"/>
  <c r="H103" i="8"/>
  <c r="K103" i="8" s="1"/>
  <c r="M103" i="8" s="1"/>
  <c r="G103" i="8"/>
  <c r="F103" i="8"/>
  <c r="E103" i="8"/>
  <c r="D103" i="8"/>
  <c r="C103" i="8"/>
  <c r="B103" i="8"/>
  <c r="I102" i="8"/>
  <c r="J102" i="8" s="1"/>
  <c r="L102" i="8" s="1"/>
  <c r="H102" i="8"/>
  <c r="K102" i="8" s="1"/>
  <c r="M102" i="8" s="1"/>
  <c r="G102" i="8"/>
  <c r="F102" i="8"/>
  <c r="E102" i="8"/>
  <c r="D102" i="8"/>
  <c r="C102" i="8"/>
  <c r="B102" i="8"/>
  <c r="I101" i="8"/>
  <c r="J101" i="8" s="1"/>
  <c r="L101" i="8" s="1"/>
  <c r="H101" i="8"/>
  <c r="K101" i="8" s="1"/>
  <c r="M101" i="8" s="1"/>
  <c r="G101" i="8"/>
  <c r="F101" i="8"/>
  <c r="F116" i="8" s="1"/>
  <c r="E14" i="2" s="1"/>
  <c r="E101" i="8"/>
  <c r="E116" i="8" s="1"/>
  <c r="E13" i="2" s="1"/>
  <c r="D101" i="8"/>
  <c r="C101" i="8"/>
  <c r="B101" i="8"/>
  <c r="C99" i="8"/>
  <c r="G93" i="8"/>
  <c r="I93" i="8" s="1"/>
  <c r="F93" i="8"/>
  <c r="H93" i="8" s="1"/>
  <c r="E93" i="8"/>
  <c r="D93" i="8"/>
  <c r="C93" i="8"/>
  <c r="B93" i="8"/>
  <c r="A93" i="8"/>
  <c r="G92" i="8"/>
  <c r="F92" i="8"/>
  <c r="D92" i="8"/>
  <c r="C92" i="8"/>
  <c r="E92" i="8" s="1"/>
  <c r="H92" i="8" s="1"/>
  <c r="B92" i="8"/>
  <c r="A92" i="8"/>
  <c r="G91" i="8"/>
  <c r="F91" i="8"/>
  <c r="D91" i="8"/>
  <c r="C91" i="8"/>
  <c r="E91" i="8" s="1"/>
  <c r="B91" i="8"/>
  <c r="A91" i="8"/>
  <c r="G90" i="8"/>
  <c r="F90" i="8"/>
  <c r="D90" i="8"/>
  <c r="E90" i="8" s="1"/>
  <c r="C90" i="8"/>
  <c r="B90" i="8"/>
  <c r="A90" i="8"/>
  <c r="G89" i="8"/>
  <c r="F89" i="8"/>
  <c r="H89" i="8" s="1"/>
  <c r="D89" i="8"/>
  <c r="C89" i="8"/>
  <c r="E89" i="8" s="1"/>
  <c r="I89" i="8" s="1"/>
  <c r="B89" i="8"/>
  <c r="A89" i="8"/>
  <c r="F84" i="8"/>
  <c r="I83" i="8"/>
  <c r="H83" i="8"/>
  <c r="K83" i="8" s="1"/>
  <c r="G83" i="8"/>
  <c r="J83" i="8" s="1"/>
  <c r="F83" i="8"/>
  <c r="E83" i="8"/>
  <c r="D83" i="8"/>
  <c r="C83" i="8"/>
  <c r="B83" i="8"/>
  <c r="I82" i="8"/>
  <c r="H82" i="8"/>
  <c r="K82" i="8" s="1"/>
  <c r="G82" i="8"/>
  <c r="J82" i="8" s="1"/>
  <c r="F82" i="8"/>
  <c r="E82" i="8"/>
  <c r="D82" i="8"/>
  <c r="C82" i="8"/>
  <c r="B82" i="8"/>
  <c r="I81" i="8"/>
  <c r="H81" i="8"/>
  <c r="K81" i="8" s="1"/>
  <c r="M81" i="8" s="1"/>
  <c r="G81" i="8"/>
  <c r="J81" i="8" s="1"/>
  <c r="L81" i="8" s="1"/>
  <c r="F81" i="8"/>
  <c r="E81" i="8"/>
  <c r="D81" i="8"/>
  <c r="C81" i="8"/>
  <c r="B81" i="8"/>
  <c r="I80" i="8"/>
  <c r="H80" i="8"/>
  <c r="K80" i="8" s="1"/>
  <c r="G80" i="8"/>
  <c r="J80" i="8" s="1"/>
  <c r="F80" i="8"/>
  <c r="E80" i="8"/>
  <c r="D80" i="8"/>
  <c r="C80" i="8"/>
  <c r="B80" i="8"/>
  <c r="I79" i="8"/>
  <c r="H79" i="8"/>
  <c r="K79" i="8" s="1"/>
  <c r="M79" i="8" s="1"/>
  <c r="G79" i="8"/>
  <c r="J79" i="8" s="1"/>
  <c r="L79" i="8" s="1"/>
  <c r="F79" i="8"/>
  <c r="E79" i="8"/>
  <c r="D79" i="8"/>
  <c r="C79" i="8"/>
  <c r="B79" i="8"/>
  <c r="I78" i="8"/>
  <c r="H78" i="8"/>
  <c r="K78" i="8" s="1"/>
  <c r="G78" i="8"/>
  <c r="J78" i="8" s="1"/>
  <c r="F78" i="8"/>
  <c r="E78" i="8"/>
  <c r="D78" i="8"/>
  <c r="C78" i="8"/>
  <c r="B78" i="8"/>
  <c r="I77" i="8"/>
  <c r="H77" i="8"/>
  <c r="K77" i="8" s="1"/>
  <c r="M77" i="8" s="1"/>
  <c r="G77" i="8"/>
  <c r="J77" i="8" s="1"/>
  <c r="L77" i="8" s="1"/>
  <c r="F77" i="8"/>
  <c r="E77" i="8"/>
  <c r="D77" i="8"/>
  <c r="C77" i="8"/>
  <c r="B77" i="8"/>
  <c r="I76" i="8"/>
  <c r="H76" i="8"/>
  <c r="K76" i="8" s="1"/>
  <c r="G76" i="8"/>
  <c r="J76" i="8" s="1"/>
  <c r="F76" i="8"/>
  <c r="E76" i="8"/>
  <c r="D76" i="8"/>
  <c r="C76" i="8"/>
  <c r="B76" i="8"/>
  <c r="I75" i="8"/>
  <c r="H75" i="8"/>
  <c r="G75" i="8"/>
  <c r="F75" i="8"/>
  <c r="E75" i="8"/>
  <c r="D75" i="8"/>
  <c r="C75" i="8"/>
  <c r="B75" i="8"/>
  <c r="I74" i="8"/>
  <c r="H74" i="8"/>
  <c r="K74" i="8" s="1"/>
  <c r="G74" i="8"/>
  <c r="J74" i="8" s="1"/>
  <c r="F74" i="8"/>
  <c r="E74" i="8"/>
  <c r="D74" i="8"/>
  <c r="C74" i="8"/>
  <c r="B74" i="8"/>
  <c r="I73" i="8"/>
  <c r="H73" i="8"/>
  <c r="K73" i="8" s="1"/>
  <c r="M73" i="8" s="1"/>
  <c r="G73" i="8"/>
  <c r="J73" i="8" s="1"/>
  <c r="L73" i="8" s="1"/>
  <c r="F73" i="8"/>
  <c r="E73" i="8"/>
  <c r="D73" i="8"/>
  <c r="C73" i="8"/>
  <c r="B73" i="8"/>
  <c r="I72" i="8"/>
  <c r="H72" i="8"/>
  <c r="K72" i="8" s="1"/>
  <c r="G72" i="8"/>
  <c r="J72" i="8" s="1"/>
  <c r="F72" i="8"/>
  <c r="E72" i="8"/>
  <c r="D72" i="8"/>
  <c r="C72" i="8"/>
  <c r="B72" i="8"/>
  <c r="I71" i="8"/>
  <c r="H71" i="8"/>
  <c r="K71" i="8" s="1"/>
  <c r="M71" i="8" s="1"/>
  <c r="G71" i="8"/>
  <c r="J71" i="8" s="1"/>
  <c r="L71" i="8" s="1"/>
  <c r="F71" i="8"/>
  <c r="E71" i="8"/>
  <c r="D71" i="8"/>
  <c r="C71" i="8"/>
  <c r="B71" i="8"/>
  <c r="I70" i="8"/>
  <c r="H70" i="8"/>
  <c r="K70" i="8" s="1"/>
  <c r="G70" i="8"/>
  <c r="J70" i="8" s="1"/>
  <c r="F70" i="8"/>
  <c r="E70" i="8"/>
  <c r="D70" i="8"/>
  <c r="C70" i="8"/>
  <c r="B70" i="8"/>
  <c r="I69" i="8"/>
  <c r="H69" i="8"/>
  <c r="K69" i="8" s="1"/>
  <c r="M69" i="8" s="1"/>
  <c r="G69" i="8"/>
  <c r="J69" i="8" s="1"/>
  <c r="L69" i="8" s="1"/>
  <c r="F69" i="8"/>
  <c r="E69" i="8"/>
  <c r="D69" i="8"/>
  <c r="D84" i="8" s="1"/>
  <c r="D12" i="2" s="1"/>
  <c r="C69" i="8"/>
  <c r="B69" i="8"/>
  <c r="C67" i="8"/>
  <c r="G61" i="8"/>
  <c r="F61" i="8"/>
  <c r="H61" i="8" s="1"/>
  <c r="E61" i="8"/>
  <c r="I61" i="8" s="1"/>
  <c r="D61" i="8"/>
  <c r="C61" i="8"/>
  <c r="B61" i="8"/>
  <c r="A61" i="8"/>
  <c r="G60" i="8"/>
  <c r="F60" i="8"/>
  <c r="D60" i="8"/>
  <c r="C60" i="8"/>
  <c r="E60" i="8" s="1"/>
  <c r="B60" i="8"/>
  <c r="A60" i="8"/>
  <c r="G59" i="8"/>
  <c r="F59" i="8"/>
  <c r="D59" i="8"/>
  <c r="C59" i="8"/>
  <c r="E59" i="8" s="1"/>
  <c r="H59" i="8" s="1"/>
  <c r="B59" i="8"/>
  <c r="A59" i="8"/>
  <c r="G58" i="8"/>
  <c r="F58" i="8"/>
  <c r="D58" i="8"/>
  <c r="C58" i="8"/>
  <c r="E58" i="8" s="1"/>
  <c r="B58" i="8"/>
  <c r="A58" i="8"/>
  <c r="G57" i="8"/>
  <c r="F57" i="8"/>
  <c r="H57" i="8" s="1"/>
  <c r="D57" i="8"/>
  <c r="E57" i="8" s="1"/>
  <c r="I57" i="8" s="1"/>
  <c r="C57" i="8"/>
  <c r="B57" i="8"/>
  <c r="A57" i="8"/>
  <c r="E52" i="8"/>
  <c r="K51" i="8"/>
  <c r="I51" i="8"/>
  <c r="H51" i="8"/>
  <c r="G51" i="8"/>
  <c r="J51" i="8" s="1"/>
  <c r="F51" i="8"/>
  <c r="E51" i="8"/>
  <c r="D51" i="8"/>
  <c r="C51" i="8"/>
  <c r="B51" i="8"/>
  <c r="I50" i="8"/>
  <c r="H50" i="8"/>
  <c r="K50" i="8" s="1"/>
  <c r="G50" i="8"/>
  <c r="J50" i="8" s="1"/>
  <c r="F50" i="8"/>
  <c r="E50" i="8"/>
  <c r="D50" i="8"/>
  <c r="C50" i="8"/>
  <c r="B50" i="8"/>
  <c r="K49" i="8"/>
  <c r="I49" i="8"/>
  <c r="H49" i="8"/>
  <c r="G49" i="8"/>
  <c r="J49" i="8" s="1"/>
  <c r="F49" i="8"/>
  <c r="E49" i="8"/>
  <c r="D49" i="8"/>
  <c r="C49" i="8"/>
  <c r="M49" i="8" s="1"/>
  <c r="B49" i="8"/>
  <c r="I48" i="8"/>
  <c r="H48" i="8"/>
  <c r="K48" i="8" s="1"/>
  <c r="G48" i="8"/>
  <c r="J48" i="8" s="1"/>
  <c r="F48" i="8"/>
  <c r="E48" i="8"/>
  <c r="D48" i="8"/>
  <c r="C48" i="8"/>
  <c r="M48" i="8" s="1"/>
  <c r="B48" i="8"/>
  <c r="K47" i="8"/>
  <c r="I47" i="8"/>
  <c r="H47" i="8"/>
  <c r="G47" i="8"/>
  <c r="J47" i="8" s="1"/>
  <c r="F47" i="8"/>
  <c r="E47" i="8"/>
  <c r="D47" i="8"/>
  <c r="C47" i="8"/>
  <c r="M47" i="8" s="1"/>
  <c r="B47" i="8"/>
  <c r="I46" i="8"/>
  <c r="H46" i="8"/>
  <c r="K46" i="8" s="1"/>
  <c r="G46" i="8"/>
  <c r="J46" i="8" s="1"/>
  <c r="F46" i="8"/>
  <c r="E46" i="8"/>
  <c r="D46" i="8"/>
  <c r="C46" i="8"/>
  <c r="M46" i="8" s="1"/>
  <c r="B46" i="8"/>
  <c r="K45" i="8"/>
  <c r="I45" i="8"/>
  <c r="H45" i="8"/>
  <c r="G45" i="8"/>
  <c r="J45" i="8" s="1"/>
  <c r="F45" i="8"/>
  <c r="E45" i="8"/>
  <c r="D45" i="8"/>
  <c r="C45" i="8"/>
  <c r="M45" i="8" s="1"/>
  <c r="B45" i="8"/>
  <c r="I44" i="8"/>
  <c r="H44" i="8"/>
  <c r="K44" i="8" s="1"/>
  <c r="G44" i="8"/>
  <c r="J44" i="8" s="1"/>
  <c r="F44" i="8"/>
  <c r="E44" i="8"/>
  <c r="D44" i="8"/>
  <c r="C44" i="8"/>
  <c r="M44" i="8" s="1"/>
  <c r="B44" i="8"/>
  <c r="I43" i="8"/>
  <c r="H43" i="8"/>
  <c r="K43" i="8" s="1"/>
  <c r="G43" i="8"/>
  <c r="J43" i="8" s="1"/>
  <c r="F43" i="8"/>
  <c r="E43" i="8"/>
  <c r="D43" i="8"/>
  <c r="C43" i="8"/>
  <c r="B43" i="8"/>
  <c r="I42" i="8"/>
  <c r="H42" i="8"/>
  <c r="K42" i="8" s="1"/>
  <c r="G42" i="8"/>
  <c r="J42" i="8" s="1"/>
  <c r="F42" i="8"/>
  <c r="E42" i="8"/>
  <c r="D42" i="8"/>
  <c r="C42" i="8"/>
  <c r="M42" i="8" s="1"/>
  <c r="B42" i="8"/>
  <c r="K41" i="8"/>
  <c r="I41" i="8"/>
  <c r="H41" i="8"/>
  <c r="G41" i="8"/>
  <c r="J41" i="8" s="1"/>
  <c r="F41" i="8"/>
  <c r="E41" i="8"/>
  <c r="D41" i="8"/>
  <c r="C41" i="8"/>
  <c r="M41" i="8" s="1"/>
  <c r="B41" i="8"/>
  <c r="I40" i="8"/>
  <c r="H40" i="8"/>
  <c r="K40" i="8" s="1"/>
  <c r="G40" i="8"/>
  <c r="J40" i="8" s="1"/>
  <c r="F40" i="8"/>
  <c r="E40" i="8"/>
  <c r="D40" i="8"/>
  <c r="C40" i="8"/>
  <c r="M40" i="8" s="1"/>
  <c r="B40" i="8"/>
  <c r="K39" i="8"/>
  <c r="I39" i="8"/>
  <c r="H39" i="8"/>
  <c r="G39" i="8"/>
  <c r="J39" i="8" s="1"/>
  <c r="F39" i="8"/>
  <c r="E39" i="8"/>
  <c r="D39" i="8"/>
  <c r="C39" i="8"/>
  <c r="M39" i="8" s="1"/>
  <c r="B39" i="8"/>
  <c r="I38" i="8"/>
  <c r="H38" i="8"/>
  <c r="K38" i="8" s="1"/>
  <c r="G38" i="8"/>
  <c r="J38" i="8" s="1"/>
  <c r="L38" i="8" s="1"/>
  <c r="F38" i="8"/>
  <c r="E38" i="8"/>
  <c r="D38" i="8"/>
  <c r="C38" i="8"/>
  <c r="B38" i="8"/>
  <c r="K37" i="8"/>
  <c r="I37" i="8"/>
  <c r="H37" i="8"/>
  <c r="G37" i="8"/>
  <c r="J37" i="8" s="1"/>
  <c r="F37" i="8"/>
  <c r="F52" i="8" s="1"/>
  <c r="C14" i="2" s="1"/>
  <c r="E37" i="8"/>
  <c r="D37" i="8"/>
  <c r="C37" i="8"/>
  <c r="M37" i="8" s="1"/>
  <c r="B37" i="8"/>
  <c r="C35" i="8"/>
  <c r="G29" i="8"/>
  <c r="I29" i="8" s="1"/>
  <c r="F29" i="8"/>
  <c r="C29" i="8"/>
  <c r="E29" i="8" s="1"/>
  <c r="H29" i="8" s="1"/>
  <c r="B29" i="8"/>
  <c r="A29" i="8"/>
  <c r="G28" i="8"/>
  <c r="F28" i="8"/>
  <c r="C28" i="8"/>
  <c r="E28" i="8" s="1"/>
  <c r="H28" i="8" s="1"/>
  <c r="B28" i="8"/>
  <c r="A28" i="8"/>
  <c r="G27" i="8"/>
  <c r="I27" i="8" s="1"/>
  <c r="F27" i="8"/>
  <c r="C27" i="8"/>
  <c r="E27" i="8" s="1"/>
  <c r="H27" i="8" s="1"/>
  <c r="B27" i="8"/>
  <c r="A27" i="8"/>
  <c r="G26" i="8"/>
  <c r="F26" i="8"/>
  <c r="C26" i="8"/>
  <c r="E26" i="8" s="1"/>
  <c r="H26" i="8" s="1"/>
  <c r="B26" i="8"/>
  <c r="A26" i="8"/>
  <c r="G25" i="8"/>
  <c r="F25" i="8"/>
  <c r="C25" i="8"/>
  <c r="E25" i="8" s="1"/>
  <c r="H25" i="8" s="1"/>
  <c r="B25" i="8"/>
  <c r="A25" i="8"/>
  <c r="D20" i="8"/>
  <c r="B12" i="2" s="1"/>
  <c r="J19" i="8"/>
  <c r="I19" i="8"/>
  <c r="H19" i="8"/>
  <c r="K19" i="8" s="1"/>
  <c r="G19" i="8"/>
  <c r="F19" i="8"/>
  <c r="E19" i="8"/>
  <c r="D19" i="8"/>
  <c r="C19" i="8"/>
  <c r="B19" i="8"/>
  <c r="I18" i="8"/>
  <c r="J18" i="8" s="1"/>
  <c r="L18" i="8" s="1"/>
  <c r="H18" i="8"/>
  <c r="K18" i="8" s="1"/>
  <c r="M18" i="8" s="1"/>
  <c r="G18" i="8"/>
  <c r="F18" i="8"/>
  <c r="E18" i="8"/>
  <c r="D18" i="8"/>
  <c r="C18" i="8"/>
  <c r="B18" i="8"/>
  <c r="J17" i="8"/>
  <c r="L17" i="8" s="1"/>
  <c r="I17" i="8"/>
  <c r="H17" i="8"/>
  <c r="K17" i="8" s="1"/>
  <c r="M17" i="8" s="1"/>
  <c r="G17" i="8"/>
  <c r="F17" i="8"/>
  <c r="E17" i="8"/>
  <c r="D17" i="8"/>
  <c r="C17" i="8"/>
  <c r="B17" i="8"/>
  <c r="I16" i="8"/>
  <c r="J16" i="8" s="1"/>
  <c r="L16" i="8" s="1"/>
  <c r="H16" i="8"/>
  <c r="K16" i="8" s="1"/>
  <c r="M16" i="8" s="1"/>
  <c r="G16" i="8"/>
  <c r="F16" i="8"/>
  <c r="E16" i="8"/>
  <c r="D16" i="8"/>
  <c r="C16" i="8"/>
  <c r="B16" i="8"/>
  <c r="J15" i="8"/>
  <c r="L15" i="8" s="1"/>
  <c r="I15" i="8"/>
  <c r="H15" i="8"/>
  <c r="K15" i="8" s="1"/>
  <c r="M15" i="8" s="1"/>
  <c r="G15" i="8"/>
  <c r="F15" i="8"/>
  <c r="E15" i="8"/>
  <c r="D15" i="8"/>
  <c r="C15" i="8"/>
  <c r="B15" i="8"/>
  <c r="I14" i="8"/>
  <c r="J14" i="8" s="1"/>
  <c r="L14" i="8" s="1"/>
  <c r="H14" i="8"/>
  <c r="K14" i="8" s="1"/>
  <c r="M14" i="8" s="1"/>
  <c r="G14" i="8"/>
  <c r="F14" i="8"/>
  <c r="E14" i="8"/>
  <c r="D14" i="8"/>
  <c r="C14" i="8"/>
  <c r="B14" i="8"/>
  <c r="J13" i="8"/>
  <c r="L13" i="8" s="1"/>
  <c r="I13" i="8"/>
  <c r="H13" i="8"/>
  <c r="K13" i="8" s="1"/>
  <c r="M13" i="8" s="1"/>
  <c r="G13" i="8"/>
  <c r="F13" i="8"/>
  <c r="E13" i="8"/>
  <c r="D13" i="8"/>
  <c r="C13" i="8"/>
  <c r="B13" i="8"/>
  <c r="J12" i="8"/>
  <c r="L12" i="8" s="1"/>
  <c r="I12" i="8"/>
  <c r="H12" i="8"/>
  <c r="K12" i="8" s="1"/>
  <c r="M12" i="8" s="1"/>
  <c r="G12" i="8"/>
  <c r="F12" i="8"/>
  <c r="E12" i="8"/>
  <c r="D12" i="8"/>
  <c r="C12" i="8"/>
  <c r="B12" i="8"/>
  <c r="J11" i="8"/>
  <c r="I11" i="8"/>
  <c r="H11" i="8"/>
  <c r="K11" i="8" s="1"/>
  <c r="G11" i="8"/>
  <c r="F11" i="8"/>
  <c r="E11" i="8"/>
  <c r="D11" i="8"/>
  <c r="C11" i="8"/>
  <c r="B11" i="8"/>
  <c r="I10" i="8"/>
  <c r="J10" i="8" s="1"/>
  <c r="L10" i="8" s="1"/>
  <c r="H10" i="8"/>
  <c r="K10" i="8" s="1"/>
  <c r="M10" i="8" s="1"/>
  <c r="G10" i="8"/>
  <c r="F10" i="8"/>
  <c r="E10" i="8"/>
  <c r="D10" i="8"/>
  <c r="C10" i="8"/>
  <c r="B10" i="8"/>
  <c r="J9" i="8"/>
  <c r="L9" i="8" s="1"/>
  <c r="I9" i="8"/>
  <c r="H9" i="8"/>
  <c r="K9" i="8" s="1"/>
  <c r="M9" i="8" s="1"/>
  <c r="G9" i="8"/>
  <c r="F9" i="8"/>
  <c r="E9" i="8"/>
  <c r="D9" i="8"/>
  <c r="C9" i="8"/>
  <c r="B9" i="8"/>
  <c r="I8" i="8"/>
  <c r="J8" i="8" s="1"/>
  <c r="L8" i="8" s="1"/>
  <c r="H8" i="8"/>
  <c r="K8" i="8" s="1"/>
  <c r="M8" i="8" s="1"/>
  <c r="G8" i="8"/>
  <c r="F8" i="8"/>
  <c r="E8" i="8"/>
  <c r="D8" i="8"/>
  <c r="C8" i="8"/>
  <c r="B8" i="8"/>
  <c r="J7" i="8"/>
  <c r="L7" i="8" s="1"/>
  <c r="I7" i="8"/>
  <c r="H7" i="8"/>
  <c r="K7" i="8" s="1"/>
  <c r="M7" i="8" s="1"/>
  <c r="G7" i="8"/>
  <c r="F7" i="8"/>
  <c r="E7" i="8"/>
  <c r="D7" i="8"/>
  <c r="C7" i="8"/>
  <c r="B7" i="8"/>
  <c r="I6" i="8"/>
  <c r="J6" i="8" s="1"/>
  <c r="L6" i="8" s="1"/>
  <c r="H6" i="8"/>
  <c r="K6" i="8" s="1"/>
  <c r="M6" i="8" s="1"/>
  <c r="G6" i="8"/>
  <c r="F6" i="8"/>
  <c r="E6" i="8"/>
  <c r="D6" i="8"/>
  <c r="C6" i="8"/>
  <c r="B6" i="8"/>
  <c r="J5" i="8"/>
  <c r="L5" i="8" s="1"/>
  <c r="I5" i="8"/>
  <c r="H5" i="8"/>
  <c r="K5" i="8" s="1"/>
  <c r="M5" i="8" s="1"/>
  <c r="G5" i="8"/>
  <c r="F5" i="8"/>
  <c r="F20" i="8" s="1"/>
  <c r="B14" i="2" s="1"/>
  <c r="E5" i="8"/>
  <c r="E20" i="8" s="1"/>
  <c r="B13" i="2" s="1"/>
  <c r="D5" i="8"/>
  <c r="C5" i="8"/>
  <c r="B5" i="8"/>
  <c r="C3" i="8"/>
  <c r="L19" i="7"/>
  <c r="L16" i="7"/>
  <c r="L13" i="7"/>
  <c r="L10" i="7"/>
  <c r="L7" i="7"/>
  <c r="C24" i="4"/>
  <c r="B39" i="3"/>
  <c r="A39" i="3"/>
  <c r="B38" i="3"/>
  <c r="A38" i="3"/>
  <c r="B37" i="3"/>
  <c r="A37" i="3"/>
  <c r="B36" i="3"/>
  <c r="A36" i="3"/>
  <c r="B35" i="3"/>
  <c r="A35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E25" i="2"/>
  <c r="D25" i="2"/>
  <c r="C25" i="2"/>
  <c r="B25" i="2"/>
  <c r="D14" i="2"/>
  <c r="C13" i="2"/>
  <c r="E12" i="2"/>
  <c r="B10" i="2"/>
  <c r="B9" i="2"/>
  <c r="B11" i="2" s="1"/>
  <c r="E8" i="2"/>
  <c r="D8" i="2"/>
  <c r="C8" i="2"/>
  <c r="B8" i="2"/>
  <c r="C7" i="2"/>
  <c r="C9" i="2" s="1"/>
  <c r="C11" i="2" s="1"/>
  <c r="B7" i="2"/>
  <c r="E6" i="2"/>
  <c r="E7" i="2" s="1"/>
  <c r="D6" i="2"/>
  <c r="D7" i="2" s="1"/>
  <c r="C6" i="2"/>
  <c r="B6" i="2"/>
  <c r="E5" i="2"/>
  <c r="D5" i="2"/>
  <c r="C5" i="2"/>
  <c r="B5" i="2"/>
  <c r="J75" i="8" l="1"/>
  <c r="K75" i="8"/>
  <c r="K107" i="8"/>
  <c r="D9" i="2"/>
  <c r="D10" i="2"/>
  <c r="I90" i="8"/>
  <c r="H90" i="8"/>
  <c r="L75" i="8" s="1"/>
  <c r="E9" i="2"/>
  <c r="E10" i="2"/>
  <c r="M75" i="8"/>
  <c r="I124" i="8"/>
  <c r="M114" i="8"/>
  <c r="I26" i="8"/>
  <c r="H60" i="8"/>
  <c r="H122" i="8"/>
  <c r="L11" i="8"/>
  <c r="L20" i="8" s="1"/>
  <c r="B15" i="2" s="1"/>
  <c r="M50" i="8"/>
  <c r="M51" i="8"/>
  <c r="I60" i="8"/>
  <c r="I91" i="8"/>
  <c r="M83" i="8" s="1"/>
  <c r="H91" i="8"/>
  <c r="L83" i="8" s="1"/>
  <c r="I122" i="8"/>
  <c r="D11" i="2"/>
  <c r="I28" i="8"/>
  <c r="M19" i="8" s="1"/>
  <c r="M20" i="8" s="1"/>
  <c r="B16" i="2" s="1"/>
  <c r="I58" i="8"/>
  <c r="M43" i="8" s="1"/>
  <c r="M52" i="8" s="1"/>
  <c r="C16" i="2" s="1"/>
  <c r="H58" i="8"/>
  <c r="I92" i="8"/>
  <c r="H121" i="8"/>
  <c r="L107" i="8" s="1"/>
  <c r="H125" i="8"/>
  <c r="L115" i="8" s="1"/>
  <c r="L116" i="8" s="1"/>
  <c r="E15" i="2" s="1"/>
  <c r="E11" i="2"/>
  <c r="I25" i="8"/>
  <c r="M11" i="8" s="1"/>
  <c r="L19" i="8"/>
  <c r="M38" i="8"/>
  <c r="I59" i="8"/>
  <c r="M70" i="8"/>
  <c r="M72" i="8"/>
  <c r="M74" i="8"/>
  <c r="M76" i="8"/>
  <c r="M78" i="8"/>
  <c r="M80" i="8"/>
  <c r="M82" i="8"/>
  <c r="I121" i="8"/>
  <c r="I125" i="8"/>
  <c r="M115" i="8" s="1"/>
  <c r="D52" i="8"/>
  <c r="C12" i="2" s="1"/>
  <c r="E84" i="8"/>
  <c r="D13" i="2" s="1"/>
  <c r="L70" i="8"/>
  <c r="L72" i="8"/>
  <c r="L84" i="8" s="1"/>
  <c r="D15" i="2" s="1"/>
  <c r="L74" i="8"/>
  <c r="L76" i="8"/>
  <c r="L78" i="8"/>
  <c r="L80" i="8"/>
  <c r="L82" i="8"/>
  <c r="C10" i="2"/>
  <c r="L40" i="8"/>
  <c r="L42" i="8"/>
  <c r="L44" i="8"/>
  <c r="L46" i="8"/>
  <c r="L48" i="8"/>
  <c r="L50" i="8"/>
  <c r="L37" i="8"/>
  <c r="L39" i="8"/>
  <c r="L41" i="8"/>
  <c r="L43" i="8"/>
  <c r="L45" i="8"/>
  <c r="L47" i="8"/>
  <c r="L49" i="8"/>
  <c r="L51" i="8"/>
  <c r="J112" i="8"/>
  <c r="L112" i="8" s="1"/>
  <c r="J114" i="8"/>
  <c r="L114" i="8" s="1"/>
  <c r="L52" i="8" l="1"/>
  <c r="C15" i="2" s="1"/>
  <c r="C21" i="2" s="1"/>
  <c r="C22" i="2" s="1"/>
  <c r="M84" i="8"/>
  <c r="D16" i="2" s="1"/>
  <c r="D28" i="2" s="1"/>
  <c r="D23" i="2"/>
  <c r="D24" i="2" s="1"/>
  <c r="C28" i="2"/>
  <c r="C29" i="2"/>
  <c r="C19" i="2"/>
  <c r="C20" i="2" s="1"/>
  <c r="C23" i="2"/>
  <c r="C24" i="2" s="1"/>
  <c r="B28" i="2"/>
  <c r="B19" i="2"/>
  <c r="B20" i="2" s="1"/>
  <c r="B29" i="2"/>
  <c r="B23" i="2"/>
  <c r="B24" i="2" s="1"/>
  <c r="B17" i="2"/>
  <c r="B18" i="2" s="1"/>
  <c r="B26" i="2" s="1"/>
  <c r="B21" i="2"/>
  <c r="B22" i="2" s="1"/>
  <c r="D21" i="2"/>
  <c r="D22" i="2" s="1"/>
  <c r="D17" i="2"/>
  <c r="D18" i="2" s="1"/>
  <c r="E17" i="2"/>
  <c r="E18" i="2" s="1"/>
  <c r="E21" i="2"/>
  <c r="E22" i="2" s="1"/>
  <c r="D19" i="2"/>
  <c r="D20" i="2" s="1"/>
  <c r="C17" i="2"/>
  <c r="C18" i="2" s="1"/>
  <c r="M107" i="8"/>
  <c r="M116" i="8" s="1"/>
  <c r="E16" i="2" s="1"/>
  <c r="C26" i="2" l="1"/>
  <c r="C27" i="2" s="1"/>
  <c r="D26" i="2"/>
  <c r="D27" i="2" s="1"/>
  <c r="D29" i="2"/>
  <c r="E28" i="2"/>
  <c r="E29" i="2"/>
  <c r="E23" i="2"/>
  <c r="E24" i="2" s="1"/>
  <c r="E19" i="2"/>
  <c r="E20" i="2" s="1"/>
  <c r="E26" i="2" s="1"/>
  <c r="E27" i="2" s="1"/>
  <c r="B27" i="2"/>
  <c r="B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2" authorId="0" shapeId="0" xr:uid="{00000000-0006-0000-0200-000001000000}">
      <text>
        <r>
          <rPr>
            <sz val="10"/>
            <rFont val="Arial"/>
            <family val="2"/>
          </rPr>
          <t>Ejemplo: P(a) financiero 2026 de P.1.7 (16.810.687,62) menos A 2026 al corte (12.836.195,66).</t>
        </r>
      </text>
    </comment>
  </commentList>
</comments>
</file>

<file path=xl/sharedStrings.xml><?xml version="1.0" encoding="utf-8"?>
<sst xmlns="http://schemas.openxmlformats.org/spreadsheetml/2006/main" count="458" uniqueCount="189">
  <si>
    <t>Simulador PMR – CR-L1137 (versión reconstruida, editable)</t>
  </si>
  <si>
    <t>Por qué existe esta versión</t>
  </si>
  <si>
    <t>El simulador oficial (PMR_SIMULATOR CR-L1137) calcula SI = 1,8 (Problema) porque la tabla dinámica 'Pivot EOP Output for milestone' está vacía. Esa tabla alimenta 'Data milestones a output', de donde salen el EV y EV(a) de los productos por hitos (P.1.7 Delegaciones y P.2.7 CCP). Al no encontrarlos, el EV de esos productos queda en blanco (EV total US$3,2mn en lugar de US$41,3mn) y SPI(a)/CPI(a) caen a ≈0,04. Como el archivo está protegido, no es posible refrescar la tabla dinámica.</t>
  </si>
  <si>
    <t>Esta versión reproduce la metodología del simulador oficial con fórmulas abiertas y, con los datos del PMR de junio 2026, devuelve SI = 2,70 (Satisfactorio), igual que el reporte PMR (ver hoja Resultados, fila 'Control vs. PMR').</t>
  </si>
  <si>
    <t>Cómo usarlo</t>
  </si>
  <si>
    <t>1. Hoja 'Escenarios': edite las celdas amarillas. Hay tres escenarios (E1, E2, E3) además del caso Base (PMR jun-2026). Para cada escenario puede indicar: fecha de corte (define los meses desde elegibilidad y el benchmark de desembolsos), desembolso acumulado, y por producto: avance físico adicional en el año, y gasto adicional (US$) en el año. Para los productos por hitos, registre el avance adicional por hito. Las metas del año (P y P(a)) no se pueden modificar: se bloquean en marzo de cada año (las de 2026 en marzo 2026). Solo se mueven el desembolso, el cumplimiento físico y la ejecución financiera.</t>
  </si>
  <si>
    <t>2. Hoja 'Resultados': muestra lado a lado los indicadores, su semáforo, el indicador sintético (SI) y la clasificación para Base, E1, E2 y E3.</t>
  </si>
  <si>
    <t>3. Hojas 'Fisico', 'Financiero' e 'Hitos': datos base tomados del simulador oficial y del PMR (I semestre 2026). Pueden actualizarse en el próximo ciclo (celdas amarillas).</t>
  </si>
  <si>
    <t>4. Hoja 'Parametros': año evaluado, datos de la operación, modalidad (GOM → Caso 1 de ponderación) y ponderaciones del SI.</t>
  </si>
  <si>
    <t>Los escenarios E1–E3 vienen precargados como ejemplo (supuestos ilustrativos, no datos del ejecutor); sobrescríbalos.</t>
  </si>
  <si>
    <t>Metodología replicada (simulador oficial PMR)</t>
  </si>
  <si>
    <t>• PV = P financiero acumulado hasta el año evaluado.  PV(a) = A financiero acumulado de años anteriores + P(a) financiero del año evaluado.  AC = A financiero acumulado hasta el año evaluado.</t>
  </si>
  <si>
    <t>• Productos normales: %P = A físico acumulado / P físico acumulado; %P(a) = A físico acumulado / (A físico de años anteriores + P(a) físico del año). EV = %P × PV; EV(a) = %P(a) × PV(a). Si el denominador físico es 0, el % es N/A y EV = EV(a) = AC.</t>
  </si>
  <si>
    <t>• Productos por hitos: EV = Σ (A acumulado del hito / meta EOP P del hito) × costo P del hito; EV(a) = Σ (A acumulado / meta EOP P(a)) × costo P(a) del hito.</t>
  </si>
  <si>
    <t>• SPI = EV/PV; SPI(a) = EV(a)/PV(a); CPI = EV/AC; CPI(a) = EV(a)/AC. Semáforo: 0,8–2,0 Satisfactorio; 0,4–0,8 Alerta; &lt;0,4 Problema; &gt;2,0 Outlier (puntúa como Problema).</t>
  </si>
  <si>
    <t>• Desembolsos: % desembolsado acumulado vs. curva de benchmark de Costa Rica según meses desde la primera elegibilidad (hoja Curva_CR, ciclo de cierre de año).</t>
  </si>
  <si>
    <t>• SI = Σ ponderación × puntaje (Satisfactorio 3, Alerta 2, Problema 1). Caso 1 (GOM): Desembolsos 40%, SPI(a) 30%, CPI(a) 30%. Caso 2: 10% / SPI 15% / SPI(a) 30% / CPI 15% / CPI(a) 30%. En etapa 3 se multiplica por 0,8 y se suma 20% del indicador de meses desde 95% desembolsado. SI ≥ 2,5 Satisfactorio; 2 ≤ SI &lt; 2,5 Alerta; SI &lt; 2 Problema.</t>
  </si>
  <si>
    <t>Limitaciones</t>
  </si>
  <si>
    <t>• Para la fecha de corte del PMR de junio, el sistema usó umbrales de desembolso 0,51/0,44, distintos de la curva de cierre de año (0,538/0,465 a 61 meses); por eso el caso Base usa esos umbrales como valor manual. Para escenarios al 31-dic se usa la curva del simulador oficial.</t>
  </si>
  <si>
    <t>• No replica ajustes manuales que SPD pueda hacer en Convergencia ni cambios a la Matriz de Resultados posteriores al PMR.</t>
  </si>
  <si>
    <t>Resultados por escenario – CR-L1137</t>
  </si>
  <si>
    <t>Calificación PMR simulada. Cambie los supuestos en la hoja 'Escenarios'.</t>
  </si>
  <si>
    <t>Concepto</t>
  </si>
  <si>
    <t>Base</t>
  </si>
  <si>
    <t>E1</t>
  </si>
  <si>
    <t>E2</t>
  </si>
  <si>
    <t>E3</t>
  </si>
  <si>
    <t>Escenario</t>
  </si>
  <si>
    <t>Fecha de corte</t>
  </si>
  <si>
    <t>Meses desde 1ra elegibilidad</t>
  </si>
  <si>
    <t>Desembolso acumulado (%)</t>
  </si>
  <si>
    <t>Umbral satisfactorio desembolsos (≥)</t>
  </si>
  <si>
    <t>Umbral problema desembolsos (&lt;)</t>
  </si>
  <si>
    <t>Semáforo desembolsos</t>
  </si>
  <si>
    <t>PV (US$)</t>
  </si>
  <si>
    <t>PV(a) (US$)</t>
  </si>
  <si>
    <t>AC (US$)</t>
  </si>
  <si>
    <t>EV (US$)</t>
  </si>
  <si>
    <t>EV(a) (US$)</t>
  </si>
  <si>
    <t>SPI = EV/PV</t>
  </si>
  <si>
    <t>Semáforo SPI</t>
  </si>
  <si>
    <t>SPI(a) = EV(a)/PV(a)</t>
  </si>
  <si>
    <t>Semáforo SPI(a)</t>
  </si>
  <si>
    <t>CPI = EV/AC</t>
  </si>
  <si>
    <t>Semáforo CPI</t>
  </si>
  <si>
    <t>CPI(a) = EV(a)/AC</t>
  </si>
  <si>
    <t>Semáforo CPI(a)</t>
  </si>
  <si>
    <t>Semáforo meses desde 95% (solo etapa 3)</t>
  </si>
  <si>
    <t>INDICADOR SINTÉTICO (SI)</t>
  </si>
  <si>
    <t>CLASIFICACIÓN</t>
  </si>
  <si>
    <t>Margen: gasto adicional sin avance antes de que CPI(a) baje de 0,80 (US$)</t>
  </si>
  <si>
    <t>Brecha: EV(a) adicional para SPI(a) satisfactorio (US$)</t>
  </si>
  <si>
    <t>Control vs. PMR (jun-2026): SI 2,70 / SPI(a) 0,74 / CPI(a) 0,84 / Desembolso 0,82</t>
  </si>
  <si>
    <t>Simulador oficial (archivo protegido)</t>
  </si>
  <si>
    <t>SI 1,8 – Problema (EV de hitos no calculado)</t>
  </si>
  <si>
    <t>Escenarios – edite las celdas amarillas</t>
  </si>
  <si>
    <t>Base = PMR I semestre 2026 sin cambios (no editable aquí). E1–E3 vienen con supuestos de ejemplo.</t>
  </si>
  <si>
    <t>Parámetro del escenario</t>
  </si>
  <si>
    <t>Base (PMR jun-26)</t>
  </si>
  <si>
    <t>Nombre</t>
  </si>
  <si>
    <t>Base PMR jun-2026</t>
  </si>
  <si>
    <t>Cierre 2026 sin cambios</t>
  </si>
  <si>
    <t>Entregas DP jul-ago 2026</t>
  </si>
  <si>
    <t>Gasto sin avance físico</t>
  </si>
  <si>
    <t>Descripción</t>
  </si>
  <si>
    <t>Datos del PMR validado (corte 30-jun-2026)</t>
  </si>
  <si>
    <t>Mismos datos, evaluados con el benchmark de desembolsos al 31-dic-2026</t>
  </si>
  <si>
    <t>Entrega de DP Desamparados Norte, Turrialba y Pococí (+3) y ejecución del P(a) 2026 de delegaciones (+US$3,97mn)</t>
  </si>
  <si>
    <t>Pagos adicionales sin avance físico: +US$3mn delegaciones y +US$5mn CCP</t>
  </si>
  <si>
    <t>Desembolso acumulado (US$)</t>
  </si>
  <si>
    <t>Umbral desembolso satisfactorio (manual, opcional)</t>
  </si>
  <si>
    <t>Base: umbrales que muestra el PMR de junio. Vacío = usar la curva (hoja Curva_CR).</t>
  </si>
  <si>
    <t>Umbral desembolso problema (manual, opcional)</t>
  </si>
  <si>
    <t>Ajustes por producto (en el año evaluado)</t>
  </si>
  <si>
    <t>Nro</t>
  </si>
  <si>
    <t>Producto</t>
  </si>
  <si>
    <t>A físico adicional</t>
  </si>
  <si>
    <t>A financiero adicional (US$)</t>
  </si>
  <si>
    <t>Ajustes por hito (avance físico adicional en el año evaluado)</t>
  </si>
  <si>
    <t>Nro producto</t>
  </si>
  <si>
    <t>Hito</t>
  </si>
  <si>
    <t>Nota: para un producto por hitos, el EV depende de los hitos; el 'A físico adicional' del producto solo cambia el %P informativo. Registre el avance en esta tabla.</t>
  </si>
  <si>
    <t>Parámetros de la operación</t>
  </si>
  <si>
    <t>Operación</t>
  </si>
  <si>
    <t>CR-L1137</t>
  </si>
  <si>
    <t>Citizen Security and Violence Prevention Program (4871/OC-CR)</t>
  </si>
  <si>
    <t>Monto aprobado vigente (US$)</t>
  </si>
  <si>
    <t>PMR / simulador oficial</t>
  </si>
  <si>
    <t>Año evaluado</t>
  </si>
  <si>
    <t>Año de clasificación</t>
  </si>
  <si>
    <t>Fecha de primera elegibilidad</t>
  </si>
  <si>
    <t>Simulador oficial, hoja Operation Basic Data</t>
  </si>
  <si>
    <t>¿Modalidad GOM? (Sí/No)</t>
  </si>
  <si>
    <t>Sí</t>
  </si>
  <si>
    <t>Sí → Caso 1 de ponderación</t>
  </si>
  <si>
    <t>Etapa PMR (Etapa 2 / Etapa 3)</t>
  </si>
  <si>
    <t>Etapa 2</t>
  </si>
  <si>
    <t>Etapa 3 = después de 95% desembolsado</t>
  </si>
  <si>
    <t>Meses desde 95% desembolsado (solo etapa 3)</t>
  </si>
  <si>
    <t>Umbral satisfactorio T3 (meses ≤)</t>
  </si>
  <si>
    <t>Simulador oficial (benchmarks 2026)</t>
  </si>
  <si>
    <t>Umbral problema T3 (meses &gt;)</t>
  </si>
  <si>
    <t>Ponderaciones del indicador sintético</t>
  </si>
  <si>
    <t>Indicador</t>
  </si>
  <si>
    <t>Caso 1 (GOM)</t>
  </si>
  <si>
    <t>Caso 2</t>
  </si>
  <si>
    <t>Desembolsos</t>
  </si>
  <si>
    <t>SPI</t>
  </si>
  <si>
    <t>SPI(a)</t>
  </si>
  <si>
    <t>CPI</t>
  </si>
  <si>
    <t>CPI(a)</t>
  </si>
  <si>
    <t>Meses desde 95% (T3, etapa 3)</t>
  </si>
  <si>
    <t>Caso de ponderación aplicado</t>
  </si>
  <si>
    <t>Fuente: simulador oficial, hoja 'Actualizar benchmarks' (J12:K17)</t>
  </si>
  <si>
    <t>Umbrales</t>
  </si>
  <si>
    <t>SI satisfactorio (≥)</t>
  </si>
  <si>
    <t>SI alerta (≥)</t>
  </si>
  <si>
    <t>Índices: satisfactorio desde</t>
  </si>
  <si>
    <t>Índices: alerta desde</t>
  </si>
  <si>
    <t>Índices: outlier sobre</t>
  </si>
  <si>
    <t>Datos físicos por producto – base PMR I semestre 2026 (fuente: simulador oficial)</t>
  </si>
  <si>
    <t>Unidad</t>
  </si>
  <si>
    <t>¿Por hitos?</t>
  </si>
  <si>
    <t>Tipo</t>
  </si>
  <si>
    <t>EOP</t>
  </si>
  <si>
    <t>P1.1. Plataformas de datos policiales integradas e interoperables</t>
  </si>
  <si>
    <t># of agencies</t>
  </si>
  <si>
    <t>No</t>
  </si>
  <si>
    <t>P</t>
  </si>
  <si>
    <t>P(a)</t>
  </si>
  <si>
    <t>A</t>
  </si>
  <si>
    <t>P1.2. Sistema de información delictual fortalecidos y en funcionamiento</t>
  </si>
  <si>
    <t>P.1.3. Departamentos de la FP capacitados en análisis criminal y monitoreo de dinámicas delictivas</t>
  </si>
  <si>
    <t># de departamentos</t>
  </si>
  <si>
    <t>P.1.4. Estrategias policiales basadas en evidencia diseñadas e implementadas</t>
  </si>
  <si>
    <t>P.1.5. Evaluación de impacto de estrategias policiales basadas en evidencia diseñada e implementada</t>
  </si>
  <si>
    <t>Evaluación</t>
  </si>
  <si>
    <t>P.1.6. Sistema de procesamiento de quejas ciudadanas y procesos disciplinarios, fortalecido</t>
  </si>
  <si>
    <t>P.1.7. Delegaciones diseñadas, construida, equipadas y operando bajo el enfoque de policía comunitaria</t>
  </si>
  <si>
    <t>Subnational governments (#)</t>
  </si>
  <si>
    <t>Centro de Mando y Control Policial (CMCP) diseñado, construido, equipado y en funcionamiento</t>
  </si>
  <si>
    <t>Número</t>
  </si>
  <si>
    <t>P.2.1. Modelo de atención de los CCP actualizado, fortalecido, y en funcionamiento en los CCPs de la red</t>
  </si>
  <si>
    <t>P.2.2. Modelo de gestión de los CCP homologado, fortalecido y en funcionamiento en los CCPs de la red</t>
  </si>
  <si>
    <t>P.2.3. Municipalidades y grupos de sociedad civil capacitados y utilizando las nuevas competencias adquiridas en prevención de violencia</t>
  </si>
  <si>
    <t>#</t>
  </si>
  <si>
    <t>P.2.4. Estrategia de comunicación social de los CCP, diseñada e implementada</t>
  </si>
  <si>
    <t>P.2.5. Sistema de información integrado de los CCP, desarrollado e implementado</t>
  </si>
  <si>
    <t>P.2.6. Evaluación de impacto de los CCP diseñada e implementada</t>
  </si>
  <si>
    <t>P.2.7. CCP diseñados, construidos, equipados y en funcionamiento</t>
  </si>
  <si>
    <t>Centros Cívicos</t>
  </si>
  <si>
    <t>Datos financieros (US$) por producto – base PMR I semestre 2026 (fuente: simulador oficial)</t>
  </si>
  <si>
    <t>Hitos de productos por hitos – base PMR I semestre 2026 (fuente: reporte PMR, sección Milestones)</t>
  </si>
  <si>
    <t>Meta EOP</t>
  </si>
  <si>
    <t>Costo hito P (US$)</t>
  </si>
  <si>
    <t>Costo hito P(a) (US$)</t>
  </si>
  <si>
    <t>Delegaciones Policiales diseñadas</t>
  </si>
  <si>
    <t>Delegaciones Policiales construidas, equipadas y operando</t>
  </si>
  <si>
    <t>CCPs diseñados</t>
  </si>
  <si>
    <t>CCPs construidos, equipados y en funcionamiento</t>
  </si>
  <si>
    <t>Techados de Skate Parks Garabito y Santa Cruz construidos</t>
  </si>
  <si>
    <t>El EV de un hito usa la meta EOP P; el EV(a) usa la meta EOP P(a). Años en fila 4 (D:K).</t>
  </si>
  <si>
    <t>Cálculo de PV, PV(a), AC, EV y EV(a) por producto y escenario (no editar)</t>
  </si>
  <si>
    <t>Escenario: Base</t>
  </si>
  <si>
    <t>¿Hitos?</t>
  </si>
  <si>
    <t>PV</t>
  </si>
  <si>
    <t>PV(a)</t>
  </si>
  <si>
    <t>AC</t>
  </si>
  <si>
    <t>P físico acum.</t>
  </si>
  <si>
    <t>P(a) físico (año)</t>
  </si>
  <si>
    <t>A físico acum.</t>
  </si>
  <si>
    <t>%P</t>
  </si>
  <si>
    <t>%P(a)</t>
  </si>
  <si>
    <t>EV</t>
  </si>
  <si>
    <t>EV(a)</t>
  </si>
  <si>
    <t>TOTAL (regla: si la suma de PV o PV(a) es 0 se usa AC)</t>
  </si>
  <si>
    <t>A acum. base</t>
  </si>
  <si>
    <t>A adicional</t>
  </si>
  <si>
    <t>A acum.</t>
  </si>
  <si>
    <t>Meta EOP P</t>
  </si>
  <si>
    <t>Meta EOP P(a)</t>
  </si>
  <si>
    <t>EV hito</t>
  </si>
  <si>
    <t>EV(a) hito</t>
  </si>
  <si>
    <t>Escenario: E1</t>
  </si>
  <si>
    <t>Escenario: E2</t>
  </si>
  <si>
    <t>Escenario: E3</t>
  </si>
  <si>
    <t>Curva de benchmark de desembolsos – Costa Rica (ciclo de cierre de año, simulador oficial)</t>
  </si>
  <si>
    <t>Satisfactorio si ≥</t>
  </si>
  <si>
    <t>Problema si 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</si>
</sst>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"/>
    <numFmt numFmtId="165" formatCode="0.0%"/>
    <numFmt numFmtId="166" formatCode="0.0000"/>
    <numFmt numFmtId="167" formatCode="#,##0;\(#,##0\);\-"/>
    <numFmt numFmtId="168" formatCode="0.##"/>
    <numFmt numFmtId="169" formatCode="0.0"/>
    <numFmt numFmtId="170" formatCode="#,##0.##;\(#,##0.##\);\-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D9E2F3"/>
      </patternFill>
    </fill>
    <fill>
      <patternFill patternType="solid">
        <fgColor rgb="FFFFFF99"/>
        <bgColor rgb="FFFFEB9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6" fontId="2" fillId="0" borderId="1" xfId="0" applyNumberFormat="1" applyFont="1" applyBorder="1" applyAlignment="1">
      <alignment horizontal="center" wrapText="1"/>
    </xf>
    <xf numFmtId="167" fontId="2" fillId="0" borderId="1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2" fontId="5" fillId="0" borderId="1" xfId="0" applyNumberFormat="1" applyFont="1" applyBorder="1" applyAlignment="1">
      <alignment horizontal="center" wrapText="1"/>
    </xf>
    <xf numFmtId="0" fontId="5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167" fontId="2" fillId="3" borderId="1" xfId="0" applyNumberFormat="1" applyFont="1" applyFill="1" applyBorder="1" applyAlignment="1">
      <alignment vertical="top" wrapText="1"/>
    </xf>
    <xf numFmtId="167" fontId="6" fillId="4" borderId="1" xfId="0" applyNumberFormat="1" applyFont="1" applyFill="1" applyBorder="1" applyAlignment="1">
      <alignment vertical="top" wrapText="1"/>
    </xf>
    <xf numFmtId="166" fontId="2" fillId="3" borderId="1" xfId="0" applyNumberFormat="1" applyFont="1" applyFill="1" applyBorder="1" applyAlignment="1">
      <alignment vertical="top" wrapText="1"/>
    </xf>
    <xf numFmtId="166" fontId="6" fillId="4" borderId="1" xfId="0" applyNumberFormat="1" applyFont="1" applyFill="1" applyBorder="1" applyAlignment="1">
      <alignment vertical="top" wrapText="1"/>
    </xf>
    <xf numFmtId="0" fontId="3" fillId="0" borderId="0" xfId="0" applyFont="1"/>
    <xf numFmtId="1" fontId="2" fillId="0" borderId="1" xfId="0" applyNumberFormat="1" applyFont="1" applyBorder="1"/>
    <xf numFmtId="0" fontId="7" fillId="0" borderId="1" xfId="0" applyFont="1" applyBorder="1" applyAlignment="1">
      <alignment vertical="top" wrapText="1"/>
    </xf>
    <xf numFmtId="168" fontId="6" fillId="4" borderId="1" xfId="0" applyNumberFormat="1" applyFont="1" applyFill="1" applyBorder="1"/>
    <xf numFmtId="167" fontId="6" fillId="4" borderId="1" xfId="0" applyNumberFormat="1" applyFont="1" applyFill="1" applyBorder="1"/>
    <xf numFmtId="1" fontId="7" fillId="0" borderId="1" xfId="0" applyNumberFormat="1" applyFont="1" applyBorder="1"/>
    <xf numFmtId="1" fontId="6" fillId="4" borderId="1" xfId="0" applyNumberFormat="1" applyFont="1" applyFill="1" applyBorder="1"/>
    <xf numFmtId="0" fontId="2" fillId="0" borderId="1" xfId="0" applyFont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169" fontId="6" fillId="4" borderId="1" xfId="0" applyNumberFormat="1" applyFont="1" applyFill="1" applyBorder="1"/>
    <xf numFmtId="2" fontId="6" fillId="4" borderId="1" xfId="0" applyNumberFormat="1" applyFont="1" applyFill="1" applyBorder="1"/>
    <xf numFmtId="9" fontId="6" fillId="4" borderId="1" xfId="0" applyNumberFormat="1" applyFont="1" applyFill="1" applyBorder="1"/>
    <xf numFmtId="170" fontId="6" fillId="4" borderId="1" xfId="0" applyNumberFormat="1" applyFont="1" applyFill="1" applyBorder="1"/>
    <xf numFmtId="0" fontId="5" fillId="0" borderId="0" xfId="0" applyFont="1"/>
    <xf numFmtId="0" fontId="7" fillId="0" borderId="1" xfId="0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2" fontId="2" fillId="0" borderId="1" xfId="0" applyNumberFormat="1" applyFont="1" applyBorder="1"/>
    <xf numFmtId="167" fontId="5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4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5"/>
  <sheetViews>
    <sheetView zoomScaleNormal="100" workbookViewId="0"/>
  </sheetViews>
  <sheetFormatPr defaultColWidth="8.7109375" defaultRowHeight="15" x14ac:dyDescent="0.25"/>
  <cols>
    <col min="1" max="1" width="3" customWidth="1"/>
    <col min="2" max="2" width="120" customWidth="1"/>
  </cols>
  <sheetData>
    <row r="2" spans="2:2" ht="18" x14ac:dyDescent="0.25">
      <c r="B2" s="2" t="s">
        <v>0</v>
      </c>
    </row>
    <row r="3" spans="2:2" x14ac:dyDescent="0.25">
      <c r="B3" s="3"/>
    </row>
    <row r="4" spans="2:2" x14ac:dyDescent="0.25">
      <c r="B4" s="4" t="s">
        <v>1</v>
      </c>
    </row>
    <row r="5" spans="2:2" ht="51" x14ac:dyDescent="0.25">
      <c r="B5" s="3" t="s">
        <v>2</v>
      </c>
    </row>
    <row r="6" spans="2:2" ht="25.5" x14ac:dyDescent="0.25">
      <c r="B6" s="3" t="s">
        <v>3</v>
      </c>
    </row>
    <row r="7" spans="2:2" x14ac:dyDescent="0.25">
      <c r="B7" s="3"/>
    </row>
    <row r="8" spans="2:2" x14ac:dyDescent="0.25">
      <c r="B8" s="4" t="s">
        <v>4</v>
      </c>
    </row>
    <row r="9" spans="2:2" ht="63.75" x14ac:dyDescent="0.25">
      <c r="B9" s="3" t="s">
        <v>5</v>
      </c>
    </row>
    <row r="10" spans="2:2" x14ac:dyDescent="0.25">
      <c r="B10" s="3" t="s">
        <v>6</v>
      </c>
    </row>
    <row r="11" spans="2:2" ht="25.5" x14ac:dyDescent="0.25">
      <c r="B11" s="3" t="s">
        <v>7</v>
      </c>
    </row>
    <row r="12" spans="2:2" x14ac:dyDescent="0.25">
      <c r="B12" s="3" t="s">
        <v>8</v>
      </c>
    </row>
    <row r="13" spans="2:2" x14ac:dyDescent="0.25">
      <c r="B13" s="5" t="s">
        <v>9</v>
      </c>
    </row>
    <row r="14" spans="2:2" x14ac:dyDescent="0.25">
      <c r="B14" s="3"/>
    </row>
    <row r="15" spans="2:2" x14ac:dyDescent="0.25">
      <c r="B15" s="4" t="s">
        <v>10</v>
      </c>
    </row>
    <row r="16" spans="2:2" ht="25.5" x14ac:dyDescent="0.25">
      <c r="B16" s="3" t="s">
        <v>11</v>
      </c>
    </row>
    <row r="17" spans="2:2" ht="25.5" x14ac:dyDescent="0.25">
      <c r="B17" s="3" t="s">
        <v>12</v>
      </c>
    </row>
    <row r="18" spans="2:2" ht="25.5" x14ac:dyDescent="0.25">
      <c r="B18" s="3" t="s">
        <v>13</v>
      </c>
    </row>
    <row r="19" spans="2:2" ht="25.5" x14ac:dyDescent="0.25">
      <c r="B19" s="3" t="s">
        <v>14</v>
      </c>
    </row>
    <row r="20" spans="2:2" ht="25.5" x14ac:dyDescent="0.25">
      <c r="B20" s="3" t="s">
        <v>15</v>
      </c>
    </row>
    <row r="21" spans="2:2" ht="38.25" x14ac:dyDescent="0.25">
      <c r="B21" s="3" t="s">
        <v>16</v>
      </c>
    </row>
    <row r="22" spans="2:2" x14ac:dyDescent="0.25">
      <c r="B22" s="3"/>
    </row>
    <row r="23" spans="2:2" x14ac:dyDescent="0.25">
      <c r="B23" s="4" t="s">
        <v>17</v>
      </c>
    </row>
    <row r="24" spans="2:2" ht="38.25" x14ac:dyDescent="0.25">
      <c r="B24" s="3" t="s">
        <v>18</v>
      </c>
    </row>
    <row r="25" spans="2:2" x14ac:dyDescent="0.25">
      <c r="B25" s="3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zoomScaleNormal="100" workbookViewId="0">
      <pane xSplit="1" ySplit="4" topLeftCell="B12" activePane="bottomRight" state="frozen"/>
      <selection pane="topRight" activeCell="B1" sqref="B1"/>
      <selection pane="bottomLeft" activeCell="A5" sqref="A5"/>
      <selection pane="bottomRight" activeCell="D20" sqref="D20"/>
    </sheetView>
  </sheetViews>
  <sheetFormatPr defaultColWidth="8.7109375" defaultRowHeight="15" x14ac:dyDescent="0.25"/>
  <cols>
    <col min="1" max="1" width="44" customWidth="1"/>
    <col min="2" max="5" width="24" customWidth="1"/>
  </cols>
  <sheetData>
    <row r="1" spans="1:5" ht="18" x14ac:dyDescent="0.25">
      <c r="A1" s="6" t="s">
        <v>20</v>
      </c>
    </row>
    <row r="2" spans="1:5" x14ac:dyDescent="0.25">
      <c r="A2" s="7" t="s">
        <v>21</v>
      </c>
    </row>
    <row r="4" spans="1:5" x14ac:dyDescent="0.25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</row>
    <row r="5" spans="1:5" ht="31.5" customHeight="1" x14ac:dyDescent="0.25">
      <c r="A5" s="9" t="s">
        <v>27</v>
      </c>
      <c r="B5" s="10" t="str">
        <f>Escenarios!C5</f>
        <v>Base PMR jun-2026</v>
      </c>
      <c r="C5" s="10" t="str">
        <f>Escenarios!D5</f>
        <v>Cierre 2026 sin cambios</v>
      </c>
      <c r="D5" s="10" t="str">
        <f>Escenarios!E5</f>
        <v>Entregas DP jul-ago 2026</v>
      </c>
      <c r="E5" s="10" t="str">
        <f>Escenarios!F5</f>
        <v>Gasto sin avance físico</v>
      </c>
    </row>
    <row r="6" spans="1:5" x14ac:dyDescent="0.25">
      <c r="A6" s="11" t="s">
        <v>28</v>
      </c>
      <c r="B6" s="12">
        <f>Escenarios!C7</f>
        <v>46203</v>
      </c>
      <c r="C6" s="12">
        <f>Escenarios!D7</f>
        <v>46387</v>
      </c>
      <c r="D6" s="12">
        <f>Escenarios!E7</f>
        <v>46387</v>
      </c>
      <c r="E6" s="12">
        <f>Escenarios!F7</f>
        <v>46387</v>
      </c>
    </row>
    <row r="7" spans="1:5" x14ac:dyDescent="0.25">
      <c r="A7" s="11" t="s">
        <v>29</v>
      </c>
      <c r="B7" s="13">
        <f>DATEDIF(Parametros!$C$7,B6,"m")</f>
        <v>61</v>
      </c>
      <c r="C7" s="13">
        <f>DATEDIF(Parametros!$C$7,C6,"m")</f>
        <v>67</v>
      </c>
      <c r="D7" s="13">
        <f>DATEDIF(Parametros!$C$7,D6,"m")</f>
        <v>67</v>
      </c>
      <c r="E7" s="13">
        <f>DATEDIF(Parametros!$C$7,E6,"m")</f>
        <v>67</v>
      </c>
    </row>
    <row r="8" spans="1:5" x14ac:dyDescent="0.25">
      <c r="A8" s="11" t="s">
        <v>30</v>
      </c>
      <c r="B8" s="14">
        <f>Escenarios!C8/Parametros!$C$5</f>
        <v>0.81899999999999995</v>
      </c>
      <c r="C8" s="14">
        <f>Escenarios!D8/Parametros!$C$5</f>
        <v>0.81899999999999995</v>
      </c>
      <c r="D8" s="14">
        <f>Escenarios!E8/Parametros!$C$5</f>
        <v>0.81899999999999995</v>
      </c>
      <c r="E8" s="14">
        <f>Escenarios!F8/Parametros!$C$5</f>
        <v>0.81899999999999995</v>
      </c>
    </row>
    <row r="9" spans="1:5" x14ac:dyDescent="0.25">
      <c r="A9" s="11" t="s">
        <v>31</v>
      </c>
      <c r="B9" s="15">
        <f>IF(Escenarios!C9&lt;&gt;"",Escenarios!C9,INDEX(Curva_CR!$B$4:$B$204,MATCH(B7,Curva_CR!$A$4:$A$204,0)))</f>
        <v>0.51</v>
      </c>
      <c r="C9" s="15">
        <f>IF(Escenarios!D9&lt;&gt;"",Escenarios!D9,INDEX(Curva_CR!$B$4:$B$204,MATCH(C7,Curva_CR!$A$4:$A$204,0)))</f>
        <v>0.61053999999999997</v>
      </c>
      <c r="D9" s="15">
        <f>IF(Escenarios!E9&lt;&gt;"",Escenarios!E9,INDEX(Curva_CR!$B$4:$B$204,MATCH(D7,Curva_CR!$A$4:$A$204,0)))</f>
        <v>0.61053999999999997</v>
      </c>
      <c r="E9" s="15">
        <f>IF(Escenarios!F9&lt;&gt;"",Escenarios!F9,INDEX(Curva_CR!$B$4:$B$204,MATCH(E7,Curva_CR!$A$4:$A$204,0)))</f>
        <v>0.61053999999999997</v>
      </c>
    </row>
    <row r="10" spans="1:5" x14ac:dyDescent="0.25">
      <c r="A10" s="11" t="s">
        <v>32</v>
      </c>
      <c r="B10" s="15">
        <f>IF(Escenarios!C10&lt;&gt;"",Escenarios!C10,INDEX(Curva_CR!$C$4:$C$204,MATCH(B7,Curva_CR!$A$4:$A$204,0)))</f>
        <v>0.44</v>
      </c>
      <c r="C10" s="15">
        <f>IF(Escenarios!D10&lt;&gt;"",Escenarios!D10,INDEX(Curva_CR!$C$4:$C$204,MATCH(C7,Curva_CR!$A$4:$A$204,0)))</f>
        <v>0.53795999999999999</v>
      </c>
      <c r="D10" s="15">
        <f>IF(Escenarios!E10&lt;&gt;"",Escenarios!E10,INDEX(Curva_CR!$C$4:$C$204,MATCH(D7,Curva_CR!$A$4:$A$204,0)))</f>
        <v>0.53795999999999999</v>
      </c>
      <c r="E10" s="15">
        <f>IF(Escenarios!F10&lt;&gt;"",Escenarios!F10,INDEX(Curva_CR!$C$4:$C$204,MATCH(E7,Curva_CR!$A$4:$A$204,0)))</f>
        <v>0.53795999999999999</v>
      </c>
    </row>
    <row r="11" spans="1:5" x14ac:dyDescent="0.25">
      <c r="A11" s="9" t="s">
        <v>33</v>
      </c>
      <c r="B11" s="10" t="str">
        <f>IF(B8&gt;=B9,"Satisfactorio",IF(B8&gt;=B10,"Alerta","Problema"))</f>
        <v>Satisfactorio</v>
      </c>
      <c r="C11" s="10" t="str">
        <f>IF(C8&gt;=C9,"Satisfactorio",IF(C8&gt;=C10,"Alerta","Problema"))</f>
        <v>Satisfactorio</v>
      </c>
      <c r="D11" s="10" t="str">
        <f>IF(D8&gt;=D9,"Satisfactorio",IF(D8&gt;=D10,"Alerta","Problema"))</f>
        <v>Satisfactorio</v>
      </c>
      <c r="E11" s="10" t="str">
        <f>IF(E8&gt;=E9,"Satisfactorio",IF(E8&gt;=E10,"Alerta","Problema"))</f>
        <v>Satisfactorio</v>
      </c>
    </row>
    <row r="12" spans="1:5" x14ac:dyDescent="0.25">
      <c r="A12" s="11" t="s">
        <v>34</v>
      </c>
      <c r="B12" s="16">
        <f>Calculo!D20</f>
        <v>95500000</v>
      </c>
      <c r="C12" s="16">
        <f>Calculo!D52</f>
        <v>95500000</v>
      </c>
      <c r="D12" s="16">
        <f>Calculo!D84</f>
        <v>95500000</v>
      </c>
      <c r="E12" s="16">
        <f>Calculo!D116</f>
        <v>95500000</v>
      </c>
    </row>
    <row r="13" spans="1:5" x14ac:dyDescent="0.25">
      <c r="A13" s="11" t="s">
        <v>35</v>
      </c>
      <c r="B13" s="16">
        <f>Calculo!E20</f>
        <v>84265871.500000015</v>
      </c>
      <c r="C13" s="16">
        <f>Calculo!E52</f>
        <v>84265871.500000015</v>
      </c>
      <c r="D13" s="16">
        <f>Calculo!E84</f>
        <v>84265871.500000015</v>
      </c>
      <c r="E13" s="16">
        <f>Calculo!E116</f>
        <v>84265871.500000015</v>
      </c>
    </row>
    <row r="14" spans="1:5" x14ac:dyDescent="0.25">
      <c r="A14" s="11" t="s">
        <v>36</v>
      </c>
      <c r="B14" s="16">
        <f>Calculo!F20</f>
        <v>73541091.760000005</v>
      </c>
      <c r="C14" s="16">
        <f>Calculo!F52</f>
        <v>73541091.760000005</v>
      </c>
      <c r="D14" s="16">
        <f>Calculo!F84</f>
        <v>77515583.719999999</v>
      </c>
      <c r="E14" s="16">
        <f>Calculo!F116</f>
        <v>81541091.760000005</v>
      </c>
    </row>
    <row r="15" spans="1:5" x14ac:dyDescent="0.25">
      <c r="A15" s="11" t="s">
        <v>37</v>
      </c>
      <c r="B15" s="16">
        <f>Calculo!L20</f>
        <v>41258690.072857141</v>
      </c>
      <c r="C15" s="16">
        <f>Calculo!L52</f>
        <v>41258690.072857141</v>
      </c>
      <c r="D15" s="16">
        <f>Calculo!L84</f>
        <v>45715364.15857143</v>
      </c>
      <c r="E15" s="16">
        <f>Calculo!L116</f>
        <v>41258690.072857141</v>
      </c>
    </row>
    <row r="16" spans="1:5" x14ac:dyDescent="0.25">
      <c r="A16" s="11" t="s">
        <v>38</v>
      </c>
      <c r="B16" s="16">
        <f>Calculo!M20</f>
        <v>61941158.666470587</v>
      </c>
      <c r="C16" s="16">
        <f>Calculo!M52</f>
        <v>61941158.666470587</v>
      </c>
      <c r="D16" s="16">
        <f>Calculo!M84</f>
        <v>71116663.960588232</v>
      </c>
      <c r="E16" s="16">
        <f>Calculo!M116</f>
        <v>61941158.666470587</v>
      </c>
    </row>
    <row r="17" spans="1:5" x14ac:dyDescent="0.25">
      <c r="A17" s="11" t="s">
        <v>39</v>
      </c>
      <c r="B17" s="17">
        <f>IF(AND(B12=0,B14=0),1,IF(B14=0,0,B15/B12))</f>
        <v>0.432028168302169</v>
      </c>
      <c r="C17" s="17">
        <f>IF(AND(C12=0,C14=0),1,IF(C14=0,0,C15/C12))</f>
        <v>0.432028168302169</v>
      </c>
      <c r="D17" s="17">
        <f>IF(AND(D12=0,D14=0),1,IF(D14=0,0,D15/D12))</f>
        <v>0.4786949126551982</v>
      </c>
      <c r="E17" s="17">
        <f>IF(AND(E12=0,E14=0),1,IF(E14=0,0,E15/E12))</f>
        <v>0.432028168302169</v>
      </c>
    </row>
    <row r="18" spans="1:5" x14ac:dyDescent="0.25">
      <c r="A18" s="11" t="s">
        <v>40</v>
      </c>
      <c r="B18" s="18" t="str">
        <f>IF(AND(B17&gt;=Parametros!$C$29,B17&lt;=Parametros!$C$31),"Satisfactorio",IF(AND(B17&gt;=Parametros!$C$30,B17&lt;Parametros!$C$29),"Alerta",IF(B17&lt;Parametros!$C$30,"Problema","Outlier")))</f>
        <v>Alerta</v>
      </c>
      <c r="C18" s="18" t="str">
        <f>IF(AND(C17&gt;=Parametros!$C$29,C17&lt;=Parametros!$C$31),"Satisfactorio",IF(AND(C17&gt;=Parametros!$C$30,C17&lt;Parametros!$C$29),"Alerta",IF(C17&lt;Parametros!$C$30,"Problema","Outlier")))</f>
        <v>Alerta</v>
      </c>
      <c r="D18" s="18" t="str">
        <f>IF(AND(D17&gt;=Parametros!$C$29,D17&lt;=Parametros!$C$31),"Satisfactorio",IF(AND(D17&gt;=Parametros!$C$30,D17&lt;Parametros!$C$29),"Alerta",IF(D17&lt;Parametros!$C$30,"Problema","Outlier")))</f>
        <v>Alerta</v>
      </c>
      <c r="E18" s="18" t="str">
        <f>IF(AND(E17&gt;=Parametros!$C$29,E17&lt;=Parametros!$C$31),"Satisfactorio",IF(AND(E17&gt;=Parametros!$C$30,E17&lt;Parametros!$C$29),"Alerta",IF(E17&lt;Parametros!$C$30,"Problema","Outlier")))</f>
        <v>Alerta</v>
      </c>
    </row>
    <row r="19" spans="1:5" x14ac:dyDescent="0.25">
      <c r="A19" s="11" t="s">
        <v>41</v>
      </c>
      <c r="B19" s="17">
        <f>IF(AND(B13=0,B14=0),1,IF(B14=0,0,B16/B13))</f>
        <v>0.73506815468550135</v>
      </c>
      <c r="C19" s="17">
        <f>IF(AND(C13=0,C14=0),1,IF(C14=0,0,C16/C13))</f>
        <v>0.73506815468550135</v>
      </c>
      <c r="D19" s="17">
        <f>IF(AND(D13=0,D14=0),1,IF(D14=0,0,D16/D13))</f>
        <v>0.84395571652739887</v>
      </c>
      <c r="E19" s="17">
        <f>IF(AND(E13=0,E14=0),1,IF(E14=0,0,E16/E13))</f>
        <v>0.73506815468550135</v>
      </c>
    </row>
    <row r="20" spans="1:5" x14ac:dyDescent="0.25">
      <c r="A20" s="9" t="s">
        <v>42</v>
      </c>
      <c r="B20" s="10" t="str">
        <f>IF(AND(B19&gt;=Parametros!$C$29,B19&lt;=Parametros!$C$31),"Satisfactorio",IF(AND(B19&gt;=Parametros!$C$30,B19&lt;Parametros!$C$29),"Alerta",IF(B19&lt;Parametros!$C$30,"Problema","Outlier")))</f>
        <v>Alerta</v>
      </c>
      <c r="C20" s="10" t="str">
        <f>IF(AND(C19&gt;=Parametros!$C$29,C19&lt;=Parametros!$C$31),"Satisfactorio",IF(AND(C19&gt;=Parametros!$C$30,C19&lt;Parametros!$C$29),"Alerta",IF(C19&lt;Parametros!$C$30,"Problema","Outlier")))</f>
        <v>Alerta</v>
      </c>
      <c r="D20" s="10" t="str">
        <f>IF(AND(D19&gt;=Parametros!$C$29,D19&lt;=Parametros!$C$31),"Satisfactorio",IF(AND(D19&gt;=Parametros!$C$30,D19&lt;Parametros!$C$29),"Alerta",IF(D19&lt;Parametros!$C$30,"Problema","Outlier")))</f>
        <v>Satisfactorio</v>
      </c>
      <c r="E20" s="10" t="str">
        <f>IF(AND(E19&gt;=Parametros!$C$29,E19&lt;=Parametros!$C$31),"Satisfactorio",IF(AND(E19&gt;=Parametros!$C$30,E19&lt;Parametros!$C$29),"Alerta",IF(E19&lt;Parametros!$C$30,"Problema","Outlier")))</f>
        <v>Alerta</v>
      </c>
    </row>
    <row r="21" spans="1:5" x14ac:dyDescent="0.25">
      <c r="A21" s="11" t="s">
        <v>43</v>
      </c>
      <c r="B21" s="17">
        <f>IF(B14=0,IF(B12=0,1,0),B15/B14)</f>
        <v>0.5610290666815787</v>
      </c>
      <c r="C21" s="17">
        <f>IF(C14=0,IF(C12=0,1,0),C15/C14)</f>
        <v>0.5610290666815787</v>
      </c>
      <c r="D21" s="17">
        <f>IF(D14=0,IF(D12=0,1,0),D15/D14)</f>
        <v>0.58975707805676092</v>
      </c>
      <c r="E21" s="17">
        <f>IF(E14=0,IF(E12=0,1,0),E15/E14)</f>
        <v>0.50598648095482823</v>
      </c>
    </row>
    <row r="22" spans="1:5" x14ac:dyDescent="0.25">
      <c r="A22" s="11" t="s">
        <v>44</v>
      </c>
      <c r="B22" s="18" t="str">
        <f>IF(AND(B21&gt;=Parametros!$C$29,B21&lt;=Parametros!$C$31),"Satisfactorio",IF(AND(B21&gt;=Parametros!$C$30,B21&lt;Parametros!$C$29),"Alerta",IF(B21&lt;Parametros!$C$30,"Problema","Outlier")))</f>
        <v>Alerta</v>
      </c>
      <c r="C22" s="18" t="str">
        <f>IF(AND(C21&gt;=Parametros!$C$29,C21&lt;=Parametros!$C$31),"Satisfactorio",IF(AND(C21&gt;=Parametros!$C$30,C21&lt;Parametros!$C$29),"Alerta",IF(C21&lt;Parametros!$C$30,"Problema","Outlier")))</f>
        <v>Alerta</v>
      </c>
      <c r="D22" s="18" t="str">
        <f>IF(AND(D21&gt;=Parametros!$C$29,D21&lt;=Parametros!$C$31),"Satisfactorio",IF(AND(D21&gt;=Parametros!$C$30,D21&lt;Parametros!$C$29),"Alerta",IF(D21&lt;Parametros!$C$30,"Problema","Outlier")))</f>
        <v>Alerta</v>
      </c>
      <c r="E22" s="18" t="str">
        <f>IF(AND(E21&gt;=Parametros!$C$29,E21&lt;=Parametros!$C$31),"Satisfactorio",IF(AND(E21&gt;=Parametros!$C$30,E21&lt;Parametros!$C$29),"Alerta",IF(E21&lt;Parametros!$C$30,"Problema","Outlier")))</f>
        <v>Alerta</v>
      </c>
    </row>
    <row r="23" spans="1:5" x14ac:dyDescent="0.25">
      <c r="A23" s="11" t="s">
        <v>45</v>
      </c>
      <c r="B23" s="17">
        <f>IF(B14=0,IF(B13=0,1,0),B16/B14)</f>
        <v>0.84226596565379275</v>
      </c>
      <c r="C23" s="17">
        <f>IF(C14=0,IF(C13=0,1,0),C16/C14)</f>
        <v>0.84226596565379275</v>
      </c>
      <c r="D23" s="17">
        <f>IF(D14=0,IF(D13=0,1,0),D16/D14)</f>
        <v>0.91744989262383936</v>
      </c>
      <c r="E23" s="17">
        <f>IF(E14=0,IF(E13=0,1,0),E16/E14)</f>
        <v>0.75963121574067316</v>
      </c>
    </row>
    <row r="24" spans="1:5" x14ac:dyDescent="0.25">
      <c r="A24" s="9" t="s">
        <v>46</v>
      </c>
      <c r="B24" s="10" t="str">
        <f>IF(AND(B23&gt;=Parametros!$C$29,B23&lt;=Parametros!$C$31),"Satisfactorio",IF(AND(B23&gt;=Parametros!$C$30,B23&lt;Parametros!$C$29),"Alerta",IF(B23&lt;Parametros!$C$30,"Problema","Outlier")))</f>
        <v>Satisfactorio</v>
      </c>
      <c r="C24" s="10" t="str">
        <f>IF(AND(C23&gt;=Parametros!$C$29,C23&lt;=Parametros!$C$31),"Satisfactorio",IF(AND(C23&gt;=Parametros!$C$30,C23&lt;Parametros!$C$29),"Alerta",IF(C23&lt;Parametros!$C$30,"Problema","Outlier")))</f>
        <v>Satisfactorio</v>
      </c>
      <c r="D24" s="10" t="str">
        <f>IF(AND(D23&gt;=Parametros!$C$29,D23&lt;=Parametros!$C$31),"Satisfactorio",IF(AND(D23&gt;=Parametros!$C$30,D23&lt;Parametros!$C$29),"Alerta",IF(D23&lt;Parametros!$C$30,"Problema","Outlier")))</f>
        <v>Satisfactorio</v>
      </c>
      <c r="E24" s="10" t="str">
        <f>IF(AND(E23&gt;=Parametros!$C$29,E23&lt;=Parametros!$C$31),"Satisfactorio",IF(AND(E23&gt;=Parametros!$C$30,E23&lt;Parametros!$C$29),"Alerta",IF(E23&lt;Parametros!$C$30,"Problema","Outlier")))</f>
        <v>Alerta</v>
      </c>
    </row>
    <row r="25" spans="1:5" x14ac:dyDescent="0.25">
      <c r="A25" s="11" t="s">
        <v>47</v>
      </c>
      <c r="B25" s="18" t="str">
        <f>IF(Parametros!$C$9="Etapa 3",IF(Parametros!$C$10&lt;=Parametros!$C$11,"Satisfactorio",IF(Parametros!$C$10&lt;=Parametros!$C$12,"Alerta","Problema")),"N/A")</f>
        <v>N/A</v>
      </c>
      <c r="C25" s="18" t="str">
        <f>IF(Parametros!$C$9="Etapa 3",IF(Parametros!$C$10&lt;=Parametros!$C$11,"Satisfactorio",IF(Parametros!$C$10&lt;=Parametros!$C$12,"Alerta","Problema")),"N/A")</f>
        <v>N/A</v>
      </c>
      <c r="D25" s="18" t="str">
        <f>IF(Parametros!$C$9="Etapa 3",IF(Parametros!$C$10&lt;=Parametros!$C$11,"Satisfactorio",IF(Parametros!$C$10&lt;=Parametros!$C$12,"Alerta","Problema")),"N/A")</f>
        <v>N/A</v>
      </c>
      <c r="E25" s="18" t="str">
        <f>IF(Parametros!$C$9="Etapa 3",IF(Parametros!$C$10&lt;=Parametros!$C$11,"Satisfactorio",IF(Parametros!$C$10&lt;=Parametros!$C$12,"Alerta","Problema")),"N/A")</f>
        <v>N/A</v>
      </c>
    </row>
    <row r="26" spans="1:5" x14ac:dyDescent="0.25">
      <c r="A26" s="9" t="s">
        <v>48</v>
      </c>
      <c r="B26" s="19">
        <f>ROUND(IF(Parametros!$C$9="Etapa 3",(INDEX(Parametros!$C$17:$D$17,1,Parametros!$C$24)*IF(B11="Satisfactorio",3,IF(B11="Alerta",2,1))+INDEX(Parametros!$C$18:$D$18,1,Parametros!$C$24)*IF(B18="Satisfactorio",3,IF(B18="Alerta",2,1))+INDEX(Parametros!$C$19:$D$19,1,Parametros!$C$24)*IF(B20="Satisfactorio",3,IF(B20="Alerta",2,1))+INDEX(Parametros!$C$20:$D$20,1,Parametros!$C$24)*IF(B22="Satisfactorio",3,IF(B22="Alerta",2,1))+INDEX(Parametros!$C$21:$D$21,1,Parametros!$C$24)*IF(B24="Satisfactorio",3,IF(B24="Alerta",2,1)))*0.8+INDEX(Parametros!$C$22:$D$22,1,Parametros!$C$24)*IF(B25="Satisfactorio",3,IF(B25="Alerta",2,1)),INDEX(Parametros!$C$17:$D$17,1,Parametros!$C$24)*IF(B11="Satisfactorio",3,IF(B11="Alerta",2,1))+INDEX(Parametros!$C$18:$D$18,1,Parametros!$C$24)*IF(B18="Satisfactorio",3,IF(B18="Alerta",2,1))+INDEX(Parametros!$C$19:$D$19,1,Parametros!$C$24)*IF(B20="Satisfactorio",3,IF(B20="Alerta",2,1))+INDEX(Parametros!$C$20:$D$20,1,Parametros!$C$24)*IF(B22="Satisfactorio",3,IF(B22="Alerta",2,1))+INDEX(Parametros!$C$21:$D$21,1,Parametros!$C$24)*IF(B24="Satisfactorio",3,IF(B24="Alerta",2,1))),2)</f>
        <v>2.7</v>
      </c>
      <c r="C26" s="19">
        <f>ROUND(IF(Parametros!$C$9="Etapa 3",(INDEX(Parametros!$C$17:$D$17,1,Parametros!$C$24)*IF(C11="Satisfactorio",3,IF(C11="Alerta",2,1))+INDEX(Parametros!$C$18:$D$18,1,Parametros!$C$24)*IF(C18="Satisfactorio",3,IF(C18="Alerta",2,1))+INDEX(Parametros!$C$19:$D$19,1,Parametros!$C$24)*IF(C20="Satisfactorio",3,IF(C20="Alerta",2,1))+INDEX(Parametros!$C$20:$D$20,1,Parametros!$C$24)*IF(C22="Satisfactorio",3,IF(C22="Alerta",2,1))+INDEX(Parametros!$C$21:$D$21,1,Parametros!$C$24)*IF(C24="Satisfactorio",3,IF(C24="Alerta",2,1)))*0.8+INDEX(Parametros!$C$22:$D$22,1,Parametros!$C$24)*IF(C25="Satisfactorio",3,IF(C25="Alerta",2,1)),INDEX(Parametros!$C$17:$D$17,1,Parametros!$C$24)*IF(C11="Satisfactorio",3,IF(C11="Alerta",2,1))+INDEX(Parametros!$C$18:$D$18,1,Parametros!$C$24)*IF(C18="Satisfactorio",3,IF(C18="Alerta",2,1))+INDEX(Parametros!$C$19:$D$19,1,Parametros!$C$24)*IF(C20="Satisfactorio",3,IF(C20="Alerta",2,1))+INDEX(Parametros!$C$20:$D$20,1,Parametros!$C$24)*IF(C22="Satisfactorio",3,IF(C22="Alerta",2,1))+INDEX(Parametros!$C$21:$D$21,1,Parametros!$C$24)*IF(C24="Satisfactorio",3,IF(C24="Alerta",2,1))),2)</f>
        <v>2.7</v>
      </c>
      <c r="D26" s="19">
        <f>ROUND(IF(Parametros!$C$9="Etapa 3",(INDEX(Parametros!$C$17:$D$17,1,Parametros!$C$24)*IF(D11="Satisfactorio",3,IF(D11="Alerta",2,1))+INDEX(Parametros!$C$18:$D$18,1,Parametros!$C$24)*IF(D18="Satisfactorio",3,IF(D18="Alerta",2,1))+INDEX(Parametros!$C$19:$D$19,1,Parametros!$C$24)*IF(D20="Satisfactorio",3,IF(D20="Alerta",2,1))+INDEX(Parametros!$C$20:$D$20,1,Parametros!$C$24)*IF(D22="Satisfactorio",3,IF(D22="Alerta",2,1))+INDEX(Parametros!$C$21:$D$21,1,Parametros!$C$24)*IF(D24="Satisfactorio",3,IF(D24="Alerta",2,1)))*0.8+INDEX(Parametros!$C$22:$D$22,1,Parametros!$C$24)*IF(D25="Satisfactorio",3,IF(D25="Alerta",2,1)),INDEX(Parametros!$C$17:$D$17,1,Parametros!$C$24)*IF(D11="Satisfactorio",3,IF(D11="Alerta",2,1))+INDEX(Parametros!$C$18:$D$18,1,Parametros!$C$24)*IF(D18="Satisfactorio",3,IF(D18="Alerta",2,1))+INDEX(Parametros!$C$19:$D$19,1,Parametros!$C$24)*IF(D20="Satisfactorio",3,IF(D20="Alerta",2,1))+INDEX(Parametros!$C$20:$D$20,1,Parametros!$C$24)*IF(D22="Satisfactorio",3,IF(D22="Alerta",2,1))+INDEX(Parametros!$C$21:$D$21,1,Parametros!$C$24)*IF(D24="Satisfactorio",3,IF(D24="Alerta",2,1))),2)</f>
        <v>3</v>
      </c>
      <c r="E26" s="19">
        <f>ROUND(IF(Parametros!$C$9="Etapa 3",(INDEX(Parametros!$C$17:$D$17,1,Parametros!$C$24)*IF(E11="Satisfactorio",3,IF(E11="Alerta",2,1))+INDEX(Parametros!$C$18:$D$18,1,Parametros!$C$24)*IF(E18="Satisfactorio",3,IF(E18="Alerta",2,1))+INDEX(Parametros!$C$19:$D$19,1,Parametros!$C$24)*IF(E20="Satisfactorio",3,IF(E20="Alerta",2,1))+INDEX(Parametros!$C$20:$D$20,1,Parametros!$C$24)*IF(E22="Satisfactorio",3,IF(E22="Alerta",2,1))+INDEX(Parametros!$C$21:$D$21,1,Parametros!$C$24)*IF(E24="Satisfactorio",3,IF(E24="Alerta",2,1)))*0.8+INDEX(Parametros!$C$22:$D$22,1,Parametros!$C$24)*IF(E25="Satisfactorio",3,IF(E25="Alerta",2,1)),INDEX(Parametros!$C$17:$D$17,1,Parametros!$C$24)*IF(E11="Satisfactorio",3,IF(E11="Alerta",2,1))+INDEX(Parametros!$C$18:$D$18,1,Parametros!$C$24)*IF(E18="Satisfactorio",3,IF(E18="Alerta",2,1))+INDEX(Parametros!$C$19:$D$19,1,Parametros!$C$24)*IF(E20="Satisfactorio",3,IF(E20="Alerta",2,1))+INDEX(Parametros!$C$20:$D$20,1,Parametros!$C$24)*IF(E22="Satisfactorio",3,IF(E22="Alerta",2,1))+INDEX(Parametros!$C$21:$D$21,1,Parametros!$C$24)*IF(E24="Satisfactorio",3,IF(E24="Alerta",2,1))),2)</f>
        <v>2.4</v>
      </c>
    </row>
    <row r="27" spans="1:5" x14ac:dyDescent="0.25">
      <c r="A27" s="9" t="s">
        <v>49</v>
      </c>
      <c r="B27" s="10" t="str">
        <f>IF(B26&gt;=Parametros!$C$27,"Satisfactorio",IF(B26&gt;=Parametros!$C$28,"Alerta","Problema"))</f>
        <v>Satisfactorio</v>
      </c>
      <c r="C27" s="10" t="str">
        <f>IF(C26&gt;=Parametros!$C$27,"Satisfactorio",IF(C26&gt;=Parametros!$C$28,"Alerta","Problema"))</f>
        <v>Satisfactorio</v>
      </c>
      <c r="D27" s="10" t="str">
        <f>IF(D26&gt;=Parametros!$C$27,"Satisfactorio",IF(D26&gt;=Parametros!$C$28,"Alerta","Problema"))</f>
        <v>Satisfactorio</v>
      </c>
      <c r="E27" s="10" t="str">
        <f>IF(E26&gt;=Parametros!$C$27,"Satisfactorio",IF(E26&gt;=Parametros!$C$28,"Alerta","Problema"))</f>
        <v>Alerta</v>
      </c>
    </row>
    <row r="28" spans="1:5" ht="25.5" x14ac:dyDescent="0.25">
      <c r="A28" s="11" t="s">
        <v>50</v>
      </c>
      <c r="B28" s="16">
        <f>MAX(0,B16/Parametros!$C$29-B14)</f>
        <v>3885356.5730882287</v>
      </c>
      <c r="C28" s="16">
        <f>MAX(0,C16/Parametros!$C$29-C14)</f>
        <v>3885356.5730882287</v>
      </c>
      <c r="D28" s="16">
        <f>MAX(0,D16/Parametros!$C$29-D14)</f>
        <v>11380246.230735287</v>
      </c>
      <c r="E28" s="16">
        <f>MAX(0,E16/Parametros!$C$29-E14)</f>
        <v>0</v>
      </c>
    </row>
    <row r="29" spans="1:5" ht="25.5" x14ac:dyDescent="0.25">
      <c r="A29" s="11" t="s">
        <v>51</v>
      </c>
      <c r="B29" s="16">
        <f>MAX(0,Parametros!$C$29*B13-B16)</f>
        <v>5471538.5335294306</v>
      </c>
      <c r="C29" s="16">
        <f>MAX(0,Parametros!$C$29*C13-C16)</f>
        <v>5471538.5335294306</v>
      </c>
      <c r="D29" s="16">
        <f>MAX(0,Parametros!$C$29*D13-D16)</f>
        <v>0</v>
      </c>
      <c r="E29" s="16">
        <f>MAX(0,Parametros!$C$29*E13-E16)</f>
        <v>5471538.5335294306</v>
      </c>
    </row>
    <row r="31" spans="1:5" ht="25.5" x14ac:dyDescent="0.25">
      <c r="A31" s="9" t="s">
        <v>52</v>
      </c>
      <c r="B31" s="20" t="str">
        <f>IF(AND(B26=2.7,ROUND(B19,2)=0.74,ROUND(B23,2)=0.84),"OK – reproduce el PMR","Revisar")</f>
        <v>OK – reproduce el PMR</v>
      </c>
    </row>
    <row r="32" spans="1:5" ht="25.5" x14ac:dyDescent="0.25">
      <c r="A32" s="11" t="s">
        <v>53</v>
      </c>
      <c r="B32" s="11" t="s">
        <v>54</v>
      </c>
    </row>
  </sheetData>
  <conditionalFormatting sqref="B5:E31">
    <cfRule type="cellIs" dxfId="3" priority="2" operator="equal">
      <formula>"Satisfactorio"</formula>
    </cfRule>
    <cfRule type="cellIs" dxfId="2" priority="3" operator="equal">
      <formula>"Alerta"</formula>
    </cfRule>
    <cfRule type="cellIs" dxfId="1" priority="4" operator="equal">
      <formula>"Problema"</formula>
    </cfRule>
    <cfRule type="cellIs" dxfId="0" priority="5" operator="equal">
      <formula>"Outlier"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zoomScaleNormal="100" workbookViewId="0">
      <pane xSplit="2" ySplit="15" topLeftCell="C16" activePane="bottomRight" state="frozen"/>
      <selection pane="topRight" activeCell="C1" sqref="C1"/>
      <selection pane="bottomLeft" activeCell="A16" sqref="A16"/>
      <selection pane="bottomRight"/>
    </sheetView>
  </sheetViews>
  <sheetFormatPr defaultColWidth="8.7109375" defaultRowHeight="15" x14ac:dyDescent="0.25"/>
  <cols>
    <col min="1" max="1" width="6" customWidth="1"/>
    <col min="2" max="2" width="50" customWidth="1"/>
    <col min="3" max="8" width="16" customWidth="1"/>
  </cols>
  <sheetData>
    <row r="1" spans="1:8" ht="18" x14ac:dyDescent="0.25">
      <c r="A1" s="6" t="s">
        <v>55</v>
      </c>
    </row>
    <row r="2" spans="1:8" x14ac:dyDescent="0.25">
      <c r="A2" s="7" t="s">
        <v>56</v>
      </c>
    </row>
    <row r="4" spans="1:8" ht="25.5" x14ac:dyDescent="0.25">
      <c r="B4" s="8" t="s">
        <v>57</v>
      </c>
      <c r="C4" s="8" t="s">
        <v>58</v>
      </c>
      <c r="D4" s="8" t="s">
        <v>24</v>
      </c>
      <c r="E4" s="8" t="s">
        <v>25</v>
      </c>
      <c r="F4" s="8" t="s">
        <v>26</v>
      </c>
    </row>
    <row r="5" spans="1:8" ht="25.5" x14ac:dyDescent="0.25">
      <c r="B5" s="9" t="s">
        <v>59</v>
      </c>
      <c r="C5" s="21" t="s">
        <v>60</v>
      </c>
      <c r="D5" s="22" t="s">
        <v>61</v>
      </c>
      <c r="E5" s="22" t="s">
        <v>62</v>
      </c>
      <c r="F5" s="22" t="s">
        <v>63</v>
      </c>
    </row>
    <row r="6" spans="1:8" ht="60" customHeight="1" x14ac:dyDescent="0.25">
      <c r="B6" s="9" t="s">
        <v>64</v>
      </c>
      <c r="C6" s="21" t="s">
        <v>65</v>
      </c>
      <c r="D6" s="22" t="s">
        <v>66</v>
      </c>
      <c r="E6" s="22" t="s">
        <v>67</v>
      </c>
      <c r="F6" s="22" t="s">
        <v>68</v>
      </c>
    </row>
    <row r="7" spans="1:8" x14ac:dyDescent="0.25">
      <c r="B7" s="9" t="s">
        <v>28</v>
      </c>
      <c r="C7" s="23">
        <v>46203</v>
      </c>
      <c r="D7" s="24">
        <v>46387</v>
      </c>
      <c r="E7" s="24">
        <v>46387</v>
      </c>
      <c r="F7" s="24">
        <v>46387</v>
      </c>
    </row>
    <row r="8" spans="1:8" x14ac:dyDescent="0.25">
      <c r="B8" s="9" t="s">
        <v>69</v>
      </c>
      <c r="C8" s="25">
        <v>81900000</v>
      </c>
      <c r="D8" s="26">
        <v>81900000</v>
      </c>
      <c r="E8" s="26">
        <v>81900000</v>
      </c>
      <c r="F8" s="26">
        <v>81900000</v>
      </c>
    </row>
    <row r="9" spans="1:8" x14ac:dyDescent="0.25">
      <c r="B9" s="9" t="s">
        <v>70</v>
      </c>
      <c r="C9" s="27">
        <v>0.51</v>
      </c>
      <c r="D9" s="28"/>
      <c r="E9" s="28"/>
      <c r="F9" s="28"/>
      <c r="G9" s="7" t="s">
        <v>71</v>
      </c>
    </row>
    <row r="10" spans="1:8" x14ac:dyDescent="0.25">
      <c r="B10" s="9" t="s">
        <v>72</v>
      </c>
      <c r="C10" s="27">
        <v>0.44</v>
      </c>
      <c r="D10" s="28"/>
      <c r="E10" s="28"/>
      <c r="F10" s="28"/>
    </row>
    <row r="13" spans="1:8" x14ac:dyDescent="0.25">
      <c r="B13" s="29" t="s">
        <v>73</v>
      </c>
    </row>
    <row r="14" spans="1:8" ht="15" customHeight="1" x14ac:dyDescent="0.25">
      <c r="C14" s="1" t="s">
        <v>24</v>
      </c>
      <c r="D14" s="1"/>
      <c r="E14" s="1" t="s">
        <v>25</v>
      </c>
      <c r="F14" s="1"/>
      <c r="G14" s="1" t="s">
        <v>26</v>
      </c>
      <c r="H14" s="1"/>
    </row>
    <row r="15" spans="1:8" ht="25.5" x14ac:dyDescent="0.25">
      <c r="A15" s="8" t="s">
        <v>74</v>
      </c>
      <c r="B15" s="8" t="s">
        <v>75</v>
      </c>
      <c r="C15" s="8" t="s">
        <v>76</v>
      </c>
      <c r="D15" s="8" t="s">
        <v>77</v>
      </c>
      <c r="E15" s="8" t="s">
        <v>76</v>
      </c>
      <c r="F15" s="8" t="s">
        <v>77</v>
      </c>
      <c r="G15" s="8" t="s">
        <v>76</v>
      </c>
      <c r="H15" s="8" t="s">
        <v>77</v>
      </c>
    </row>
    <row r="16" spans="1:8" ht="25.5" x14ac:dyDescent="0.25">
      <c r="A16" s="30">
        <v>1</v>
      </c>
      <c r="B16" s="31" t="str">
        <f>Fisico!B5</f>
        <v>P1.1. Plataformas de datos policiales integradas e interoperables</v>
      </c>
      <c r="C16" s="32"/>
      <c r="D16" s="33"/>
      <c r="E16" s="32"/>
      <c r="F16" s="33"/>
      <c r="G16" s="32"/>
      <c r="H16" s="33"/>
    </row>
    <row r="17" spans="1:8" ht="25.5" x14ac:dyDescent="0.25">
      <c r="A17" s="30">
        <v>2</v>
      </c>
      <c r="B17" s="31" t="str">
        <f>Fisico!B8</f>
        <v>P1.2. Sistema de información delictual fortalecidos y en funcionamiento</v>
      </c>
      <c r="C17" s="32"/>
      <c r="D17" s="33"/>
      <c r="E17" s="32"/>
      <c r="F17" s="33"/>
      <c r="G17" s="32"/>
      <c r="H17" s="33"/>
    </row>
    <row r="18" spans="1:8" ht="25.5" x14ac:dyDescent="0.25">
      <c r="A18" s="30">
        <v>3</v>
      </c>
      <c r="B18" s="31" t="str">
        <f>Fisico!B11</f>
        <v>P.1.3. Departamentos de la FP capacitados en análisis criminal y monitoreo de dinámicas delictivas</v>
      </c>
      <c r="C18" s="32"/>
      <c r="D18" s="33"/>
      <c r="E18" s="32"/>
      <c r="F18" s="33"/>
      <c r="G18" s="32"/>
      <c r="H18" s="33"/>
    </row>
    <row r="19" spans="1:8" ht="25.5" x14ac:dyDescent="0.25">
      <c r="A19" s="30">
        <v>4</v>
      </c>
      <c r="B19" s="31" t="str">
        <f>Fisico!B14</f>
        <v>P.1.4. Estrategias policiales basadas en evidencia diseñadas e implementadas</v>
      </c>
      <c r="C19" s="32"/>
      <c r="D19" s="33"/>
      <c r="E19" s="32"/>
      <c r="F19" s="33"/>
      <c r="G19" s="32"/>
      <c r="H19" s="33"/>
    </row>
    <row r="20" spans="1:8" ht="25.5" x14ac:dyDescent="0.25">
      <c r="A20" s="30">
        <v>5</v>
      </c>
      <c r="B20" s="31" t="str">
        <f>Fisico!B17</f>
        <v>P.1.5. Evaluación de impacto de estrategias policiales basadas en evidencia diseñada e implementada</v>
      </c>
      <c r="C20" s="32"/>
      <c r="D20" s="33"/>
      <c r="E20" s="32"/>
      <c r="F20" s="33"/>
      <c r="G20" s="32"/>
      <c r="H20" s="33"/>
    </row>
    <row r="21" spans="1:8" ht="25.5" x14ac:dyDescent="0.25">
      <c r="A21" s="30">
        <v>6</v>
      </c>
      <c r="B21" s="31" t="str">
        <f>Fisico!B20</f>
        <v>P.1.6. Sistema de procesamiento de quejas ciudadanas y procesos disciplinarios, fortalecido</v>
      </c>
      <c r="C21" s="32"/>
      <c r="D21" s="33"/>
      <c r="E21" s="32"/>
      <c r="F21" s="33"/>
      <c r="G21" s="32"/>
      <c r="H21" s="33"/>
    </row>
    <row r="22" spans="1:8" ht="25.5" x14ac:dyDescent="0.25">
      <c r="A22" s="30">
        <v>7</v>
      </c>
      <c r="B22" s="31" t="str">
        <f>Fisico!B23</f>
        <v>P.1.7. Delegaciones diseñadas, construida, equipadas y operando bajo el enfoque de policía comunitaria</v>
      </c>
      <c r="C22" s="32"/>
      <c r="D22" s="33"/>
      <c r="E22" s="32">
        <v>3</v>
      </c>
      <c r="F22" s="33">
        <v>3974491.96</v>
      </c>
      <c r="G22" s="32"/>
      <c r="H22" s="33">
        <v>3000000</v>
      </c>
    </row>
    <row r="23" spans="1:8" ht="25.5" x14ac:dyDescent="0.25">
      <c r="A23" s="30">
        <v>8</v>
      </c>
      <c r="B23" s="31" t="str">
        <f>Fisico!B26</f>
        <v>Centro de Mando y Control Policial (CMCP) diseñado, construido, equipado y en funcionamiento</v>
      </c>
      <c r="C23" s="32"/>
      <c r="D23" s="33"/>
      <c r="E23" s="32"/>
      <c r="F23" s="33"/>
      <c r="G23" s="32"/>
      <c r="H23" s="33"/>
    </row>
    <row r="24" spans="1:8" ht="25.5" x14ac:dyDescent="0.25">
      <c r="A24" s="30">
        <v>9</v>
      </c>
      <c r="B24" s="31" t="str">
        <f>Fisico!B29</f>
        <v>P.2.1. Modelo de atención de los CCP actualizado, fortalecido, y en funcionamiento en los CCPs de la red</v>
      </c>
      <c r="C24" s="32"/>
      <c r="D24" s="33"/>
      <c r="E24" s="32"/>
      <c r="F24" s="33"/>
      <c r="G24" s="32"/>
      <c r="H24" s="33"/>
    </row>
    <row r="25" spans="1:8" ht="25.5" x14ac:dyDescent="0.25">
      <c r="A25" s="30">
        <v>10</v>
      </c>
      <c r="B25" s="31" t="str">
        <f>Fisico!B32</f>
        <v>P.2.2. Modelo de gestión de los CCP homologado, fortalecido y en funcionamiento en los CCPs de la red</v>
      </c>
      <c r="C25" s="32"/>
      <c r="D25" s="33"/>
      <c r="E25" s="32"/>
      <c r="F25" s="33"/>
      <c r="G25" s="32"/>
      <c r="H25" s="33"/>
    </row>
    <row r="26" spans="1:8" ht="38.25" x14ac:dyDescent="0.25">
      <c r="A26" s="30">
        <v>11</v>
      </c>
      <c r="B26" s="31" t="str">
        <f>Fisico!B35</f>
        <v>P.2.3. Municipalidades y grupos de sociedad civil capacitados y utilizando las nuevas competencias adquiridas en prevención de violencia</v>
      </c>
      <c r="C26" s="32"/>
      <c r="D26" s="33"/>
      <c r="E26" s="32"/>
      <c r="F26" s="33"/>
      <c r="G26" s="32"/>
      <c r="H26" s="33"/>
    </row>
    <row r="27" spans="1:8" ht="25.5" x14ac:dyDescent="0.25">
      <c r="A27" s="30">
        <v>12</v>
      </c>
      <c r="B27" s="31" t="str">
        <f>Fisico!B38</f>
        <v>P.2.4. Estrategia de comunicación social de los CCP, diseñada e implementada</v>
      </c>
      <c r="C27" s="32"/>
      <c r="D27" s="33"/>
      <c r="E27" s="32"/>
      <c r="F27" s="33"/>
      <c r="G27" s="32"/>
      <c r="H27" s="33"/>
    </row>
    <row r="28" spans="1:8" ht="25.5" x14ac:dyDescent="0.25">
      <c r="A28" s="30">
        <v>13</v>
      </c>
      <c r="B28" s="31" t="str">
        <f>Fisico!B41</f>
        <v>P.2.5. Sistema de información integrado de los CCP, desarrollado e implementado</v>
      </c>
      <c r="C28" s="32"/>
      <c r="D28" s="33"/>
      <c r="E28" s="32"/>
      <c r="F28" s="33"/>
      <c r="G28" s="32"/>
      <c r="H28" s="33"/>
    </row>
    <row r="29" spans="1:8" ht="25.5" x14ac:dyDescent="0.25">
      <c r="A29" s="30">
        <v>14</v>
      </c>
      <c r="B29" s="31" t="str">
        <f>Fisico!B44</f>
        <v>P.2.6. Evaluación de impacto de los CCP diseñada e implementada</v>
      </c>
      <c r="C29" s="32"/>
      <c r="D29" s="33"/>
      <c r="E29" s="32"/>
      <c r="F29" s="33"/>
      <c r="G29" s="32"/>
      <c r="H29" s="33"/>
    </row>
    <row r="30" spans="1:8" ht="25.5" x14ac:dyDescent="0.25">
      <c r="A30" s="30">
        <v>15</v>
      </c>
      <c r="B30" s="31" t="str">
        <f>Fisico!B47</f>
        <v>P.2.7. CCP diseñados, construidos, equipados y en funcionamiento</v>
      </c>
      <c r="C30" s="32"/>
      <c r="D30" s="33"/>
      <c r="E30" s="32"/>
      <c r="F30" s="33"/>
      <c r="G30" s="32"/>
      <c r="H30" s="33">
        <v>5000000</v>
      </c>
    </row>
    <row r="33" spans="1:5" x14ac:dyDescent="0.25">
      <c r="B33" s="29" t="s">
        <v>78</v>
      </c>
    </row>
    <row r="34" spans="1:5" ht="38.25" x14ac:dyDescent="0.25">
      <c r="A34" s="8" t="s">
        <v>79</v>
      </c>
      <c r="B34" s="8" t="s">
        <v>80</v>
      </c>
      <c r="C34" s="8" t="s">
        <v>24</v>
      </c>
      <c r="D34" s="8" t="s">
        <v>25</v>
      </c>
      <c r="E34" s="8" t="s">
        <v>26</v>
      </c>
    </row>
    <row r="35" spans="1:5" x14ac:dyDescent="0.25">
      <c r="A35" s="34">
        <f>Hitos!A5</f>
        <v>7</v>
      </c>
      <c r="B35" s="31" t="str">
        <f>Hitos!B5</f>
        <v>Delegaciones Policiales diseñadas</v>
      </c>
      <c r="C35" s="35"/>
      <c r="D35" s="35"/>
      <c r="E35" s="35"/>
    </row>
    <row r="36" spans="1:5" ht="25.5" x14ac:dyDescent="0.25">
      <c r="A36" s="34">
        <f>Hitos!A8</f>
        <v>7</v>
      </c>
      <c r="B36" s="31" t="str">
        <f>Hitos!B8</f>
        <v>Delegaciones Policiales construidas, equipadas y operando</v>
      </c>
      <c r="C36" s="35"/>
      <c r="D36" s="35">
        <v>3</v>
      </c>
      <c r="E36" s="35"/>
    </row>
    <row r="37" spans="1:5" x14ac:dyDescent="0.25">
      <c r="A37" s="34">
        <f>Hitos!A11</f>
        <v>15</v>
      </c>
      <c r="B37" s="31" t="str">
        <f>Hitos!B11</f>
        <v>CCPs diseñados</v>
      </c>
      <c r="C37" s="35"/>
      <c r="D37" s="35"/>
      <c r="E37" s="35"/>
    </row>
    <row r="38" spans="1:5" x14ac:dyDescent="0.25">
      <c r="A38" s="34">
        <f>Hitos!A14</f>
        <v>15</v>
      </c>
      <c r="B38" s="31" t="str">
        <f>Hitos!B14</f>
        <v>CCPs construidos, equipados y en funcionamiento</v>
      </c>
      <c r="C38" s="35"/>
      <c r="D38" s="35"/>
      <c r="E38" s="35"/>
    </row>
    <row r="39" spans="1:5" ht="25.5" x14ac:dyDescent="0.25">
      <c r="A39" s="34">
        <f>Hitos!A17</f>
        <v>15</v>
      </c>
      <c r="B39" s="31" t="str">
        <f>Hitos!B17</f>
        <v>Techados de Skate Parks Garabito y Santa Cruz construidos</v>
      </c>
      <c r="C39" s="35"/>
      <c r="D39" s="35"/>
      <c r="E39" s="35"/>
    </row>
    <row r="41" spans="1:5" x14ac:dyDescent="0.25">
      <c r="B41" s="7" t="s">
        <v>81</v>
      </c>
    </row>
  </sheetData>
  <mergeCells count="3">
    <mergeCell ref="C14:D14"/>
    <mergeCell ref="E14:F14"/>
    <mergeCell ref="G14:H1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31"/>
  <sheetViews>
    <sheetView topLeftCell="A21" zoomScaleNormal="100" workbookViewId="0"/>
  </sheetViews>
  <sheetFormatPr defaultColWidth="8.7109375" defaultRowHeight="15" x14ac:dyDescent="0.25"/>
  <cols>
    <col min="1" max="1" width="3" customWidth="1"/>
    <col min="2" max="2" width="46" customWidth="1"/>
    <col min="3" max="4" width="18" customWidth="1"/>
    <col min="5" max="5" width="50" customWidth="1"/>
  </cols>
  <sheetData>
    <row r="2" spans="2:5" ht="18" x14ac:dyDescent="0.25">
      <c r="B2" s="6" t="s">
        <v>82</v>
      </c>
    </row>
    <row r="4" spans="2:5" x14ac:dyDescent="0.25">
      <c r="B4" s="36" t="s">
        <v>83</v>
      </c>
      <c r="C4" s="37" t="s">
        <v>84</v>
      </c>
      <c r="E4" s="7" t="s">
        <v>85</v>
      </c>
    </row>
    <row r="5" spans="2:5" x14ac:dyDescent="0.25">
      <c r="B5" s="36" t="s">
        <v>86</v>
      </c>
      <c r="C5" s="33">
        <v>100000000</v>
      </c>
      <c r="E5" s="7" t="s">
        <v>87</v>
      </c>
    </row>
    <row r="6" spans="2:5" x14ac:dyDescent="0.25">
      <c r="B6" s="36" t="s">
        <v>88</v>
      </c>
      <c r="C6" s="35">
        <v>2026</v>
      </c>
      <c r="E6" s="7" t="s">
        <v>89</v>
      </c>
    </row>
    <row r="7" spans="2:5" x14ac:dyDescent="0.25">
      <c r="B7" s="36" t="s">
        <v>90</v>
      </c>
      <c r="C7" s="38">
        <v>44328</v>
      </c>
      <c r="E7" s="7" t="s">
        <v>91</v>
      </c>
    </row>
    <row r="8" spans="2:5" x14ac:dyDescent="0.25">
      <c r="B8" s="36" t="s">
        <v>92</v>
      </c>
      <c r="C8" s="37" t="s">
        <v>93</v>
      </c>
      <c r="E8" s="7" t="s">
        <v>94</v>
      </c>
    </row>
    <row r="9" spans="2:5" x14ac:dyDescent="0.25">
      <c r="B9" s="36" t="s">
        <v>95</v>
      </c>
      <c r="C9" s="37" t="s">
        <v>96</v>
      </c>
      <c r="E9" s="7" t="s">
        <v>97</v>
      </c>
    </row>
    <row r="10" spans="2:5" x14ac:dyDescent="0.25">
      <c r="B10" s="36" t="s">
        <v>98</v>
      </c>
      <c r="C10" s="39">
        <v>0</v>
      </c>
      <c r="E10" s="7"/>
    </row>
    <row r="11" spans="2:5" x14ac:dyDescent="0.25">
      <c r="B11" s="36" t="s">
        <v>99</v>
      </c>
      <c r="C11" s="40">
        <v>11.78</v>
      </c>
      <c r="E11" s="7" t="s">
        <v>100</v>
      </c>
    </row>
    <row r="12" spans="2:5" x14ac:dyDescent="0.25">
      <c r="B12" s="36" t="s">
        <v>101</v>
      </c>
      <c r="C12" s="40">
        <v>17.05</v>
      </c>
      <c r="E12" s="7" t="s">
        <v>100</v>
      </c>
    </row>
    <row r="15" spans="2:5" x14ac:dyDescent="0.25">
      <c r="B15" s="29" t="s">
        <v>102</v>
      </c>
    </row>
    <row r="16" spans="2:5" x14ac:dyDescent="0.25">
      <c r="B16" s="8" t="s">
        <v>103</v>
      </c>
      <c r="C16" s="8" t="s">
        <v>104</v>
      </c>
      <c r="D16" s="8" t="s">
        <v>105</v>
      </c>
    </row>
    <row r="17" spans="2:5" x14ac:dyDescent="0.25">
      <c r="B17" s="36" t="s">
        <v>106</v>
      </c>
      <c r="C17" s="41">
        <v>0.4</v>
      </c>
      <c r="D17" s="41">
        <v>0.1</v>
      </c>
    </row>
    <row r="18" spans="2:5" x14ac:dyDescent="0.25">
      <c r="B18" s="36" t="s">
        <v>107</v>
      </c>
      <c r="C18" s="41">
        <v>0</v>
      </c>
      <c r="D18" s="41">
        <v>0.15</v>
      </c>
    </row>
    <row r="19" spans="2:5" x14ac:dyDescent="0.25">
      <c r="B19" s="36" t="s">
        <v>108</v>
      </c>
      <c r="C19" s="41">
        <v>0.3</v>
      </c>
      <c r="D19" s="41">
        <v>0.3</v>
      </c>
    </row>
    <row r="20" spans="2:5" x14ac:dyDescent="0.25">
      <c r="B20" s="36" t="s">
        <v>109</v>
      </c>
      <c r="C20" s="41">
        <v>0</v>
      </c>
      <c r="D20" s="41">
        <v>0.15</v>
      </c>
    </row>
    <row r="21" spans="2:5" x14ac:dyDescent="0.25">
      <c r="B21" s="36" t="s">
        <v>110</v>
      </c>
      <c r="C21" s="41">
        <v>0.3</v>
      </c>
      <c r="D21" s="41">
        <v>0.3</v>
      </c>
    </row>
    <row r="22" spans="2:5" x14ac:dyDescent="0.25">
      <c r="B22" s="36" t="s">
        <v>111</v>
      </c>
      <c r="C22" s="41">
        <v>0.2</v>
      </c>
      <c r="D22" s="41">
        <v>0.2</v>
      </c>
    </row>
    <row r="24" spans="2:5" x14ac:dyDescent="0.25">
      <c r="B24" s="36" t="s">
        <v>112</v>
      </c>
      <c r="C24" s="30">
        <f>IF(C8="Sí",1,2)</f>
        <v>1</v>
      </c>
      <c r="E24" s="7" t="s">
        <v>113</v>
      </c>
    </row>
    <row r="26" spans="2:5" x14ac:dyDescent="0.25">
      <c r="B26" s="29" t="s">
        <v>114</v>
      </c>
    </row>
    <row r="27" spans="2:5" x14ac:dyDescent="0.25">
      <c r="B27" s="36" t="s">
        <v>115</v>
      </c>
      <c r="C27" s="40">
        <v>2.5</v>
      </c>
    </row>
    <row r="28" spans="2:5" x14ac:dyDescent="0.25">
      <c r="B28" s="36" t="s">
        <v>116</v>
      </c>
      <c r="C28" s="40">
        <v>2</v>
      </c>
    </row>
    <row r="29" spans="2:5" x14ac:dyDescent="0.25">
      <c r="B29" s="36" t="s">
        <v>117</v>
      </c>
      <c r="C29" s="40">
        <v>0.8</v>
      </c>
    </row>
    <row r="30" spans="2:5" x14ac:dyDescent="0.25">
      <c r="B30" s="36" t="s">
        <v>118</v>
      </c>
      <c r="C30" s="40">
        <v>0.4</v>
      </c>
    </row>
    <row r="31" spans="2:5" x14ac:dyDescent="0.25">
      <c r="B31" s="36" t="s">
        <v>119</v>
      </c>
      <c r="C31" s="40">
        <v>2</v>
      </c>
    </row>
  </sheetData>
  <dataValidations count="2">
    <dataValidation type="list" sqref="C8" xr:uid="{00000000-0002-0000-0300-000000000000}">
      <formula1>"Sí,No"</formula1>
      <formula2>0</formula2>
    </dataValidation>
    <dataValidation type="list" sqref="C9" xr:uid="{00000000-0002-0000-0300-000001000000}">
      <formula1>"Etapa 2,Etapa 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9"/>
  <sheetViews>
    <sheetView zoomScaleNormal="100" workbookViewId="0">
      <pane xSplit="5" ySplit="4" topLeftCell="F14" activePane="bottomRight" state="frozen"/>
      <selection pane="topRight" activeCell="F1" sqref="F1"/>
      <selection pane="bottomLeft" activeCell="A5" sqref="A5"/>
      <selection pane="bottomRight" activeCell="L25" sqref="L25"/>
    </sheetView>
  </sheetViews>
  <sheetFormatPr defaultColWidth="8.7109375" defaultRowHeight="15" x14ac:dyDescent="0.25"/>
  <cols>
    <col min="1" max="1" width="5" customWidth="1"/>
    <col min="2" max="2" width="60" customWidth="1"/>
    <col min="3" max="3" width="16" customWidth="1"/>
    <col min="4" max="4" width="10" customWidth="1"/>
    <col min="5" max="5" width="6" customWidth="1"/>
    <col min="6" max="14" width="13" customWidth="1"/>
  </cols>
  <sheetData>
    <row r="1" spans="1:14" x14ac:dyDescent="0.25">
      <c r="A1" s="29" t="s">
        <v>120</v>
      </c>
    </row>
    <row r="4" spans="1:14" ht="25.5" x14ac:dyDescent="0.25">
      <c r="A4" s="8" t="s">
        <v>74</v>
      </c>
      <c r="B4" s="8" t="s">
        <v>75</v>
      </c>
      <c r="C4" s="8" t="s">
        <v>121</v>
      </c>
      <c r="D4" s="8" t="s">
        <v>122</v>
      </c>
      <c r="E4" s="8" t="s">
        <v>123</v>
      </c>
      <c r="F4" s="8">
        <v>2020</v>
      </c>
      <c r="G4" s="8">
        <v>2021</v>
      </c>
      <c r="H4" s="8">
        <v>2022</v>
      </c>
      <c r="I4" s="8">
        <v>2023</v>
      </c>
      <c r="J4" s="8">
        <v>2024</v>
      </c>
      <c r="K4" s="8">
        <v>2025</v>
      </c>
      <c r="L4" s="8">
        <v>2026</v>
      </c>
      <c r="M4" s="8">
        <v>2027</v>
      </c>
      <c r="N4" s="8" t="s">
        <v>124</v>
      </c>
    </row>
    <row r="5" spans="1:14" x14ac:dyDescent="0.25">
      <c r="A5" s="30">
        <v>1</v>
      </c>
      <c r="B5" s="11" t="s">
        <v>125</v>
      </c>
      <c r="C5" s="11" t="s">
        <v>126</v>
      </c>
      <c r="D5" s="36" t="s">
        <v>127</v>
      </c>
      <c r="E5" s="20" t="s">
        <v>128</v>
      </c>
      <c r="F5" s="42">
        <v>0</v>
      </c>
      <c r="G5" s="42">
        <v>0</v>
      </c>
      <c r="H5" s="42">
        <v>0</v>
      </c>
      <c r="I5" s="42">
        <v>0</v>
      </c>
      <c r="J5" s="42">
        <v>1</v>
      </c>
      <c r="K5" s="42">
        <v>0</v>
      </c>
      <c r="L5" s="42">
        <v>0</v>
      </c>
      <c r="M5" s="42">
        <v>0</v>
      </c>
      <c r="N5" s="42">
        <v>1</v>
      </c>
    </row>
    <row r="6" spans="1:14" x14ac:dyDescent="0.25">
      <c r="A6" s="30">
        <v>1</v>
      </c>
      <c r="B6" s="11"/>
      <c r="C6" s="11"/>
      <c r="D6" s="36"/>
      <c r="E6" s="20" t="s">
        <v>129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1</v>
      </c>
      <c r="N6" s="42">
        <v>1</v>
      </c>
    </row>
    <row r="7" spans="1:14" x14ac:dyDescent="0.25">
      <c r="A7" s="30">
        <v>1</v>
      </c>
      <c r="B7" s="11"/>
      <c r="C7" s="11"/>
      <c r="D7" s="36"/>
      <c r="E7" s="20" t="s">
        <v>130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</row>
    <row r="8" spans="1:14" ht="25.5" x14ac:dyDescent="0.25">
      <c r="A8" s="30">
        <v>2</v>
      </c>
      <c r="B8" s="11" t="s">
        <v>131</v>
      </c>
      <c r="C8" s="11" t="s">
        <v>126</v>
      </c>
      <c r="D8" s="36" t="s">
        <v>127</v>
      </c>
      <c r="E8" s="20" t="s">
        <v>128</v>
      </c>
      <c r="F8" s="42">
        <v>0</v>
      </c>
      <c r="G8" s="42">
        <v>0</v>
      </c>
      <c r="H8" s="42">
        <v>0</v>
      </c>
      <c r="I8" s="42">
        <v>0</v>
      </c>
      <c r="J8" s="42">
        <v>1</v>
      </c>
      <c r="K8" s="42">
        <v>0</v>
      </c>
      <c r="L8" s="42">
        <v>0</v>
      </c>
      <c r="M8" s="42">
        <v>0</v>
      </c>
      <c r="N8" s="42">
        <v>1</v>
      </c>
    </row>
    <row r="9" spans="1:14" x14ac:dyDescent="0.25">
      <c r="A9" s="30">
        <v>2</v>
      </c>
      <c r="B9" s="11"/>
      <c r="C9" s="11"/>
      <c r="D9" s="36"/>
      <c r="E9" s="20" t="s">
        <v>129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1</v>
      </c>
      <c r="N9" s="42">
        <v>1</v>
      </c>
    </row>
    <row r="10" spans="1:14" x14ac:dyDescent="0.25">
      <c r="A10" s="30">
        <v>2</v>
      </c>
      <c r="B10" s="11"/>
      <c r="C10" s="11"/>
      <c r="D10" s="36"/>
      <c r="E10" s="20" t="s">
        <v>130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</row>
    <row r="11" spans="1:14" ht="25.5" x14ac:dyDescent="0.25">
      <c r="A11" s="30">
        <v>3</v>
      </c>
      <c r="B11" s="11" t="s">
        <v>132</v>
      </c>
      <c r="C11" s="11" t="s">
        <v>133</v>
      </c>
      <c r="D11" s="36" t="s">
        <v>127</v>
      </c>
      <c r="E11" s="20" t="s">
        <v>128</v>
      </c>
      <c r="F11" s="42">
        <v>0</v>
      </c>
      <c r="G11" s="42">
        <v>0</v>
      </c>
      <c r="H11" s="42">
        <v>0</v>
      </c>
      <c r="I11" s="42">
        <v>0</v>
      </c>
      <c r="J11" s="42">
        <v>16</v>
      </c>
      <c r="K11" s="42">
        <v>0</v>
      </c>
      <c r="L11" s="42">
        <v>0</v>
      </c>
      <c r="M11" s="42">
        <v>0</v>
      </c>
      <c r="N11" s="42">
        <v>16</v>
      </c>
    </row>
    <row r="12" spans="1:14" x14ac:dyDescent="0.25">
      <c r="A12" s="30">
        <v>3</v>
      </c>
      <c r="B12" s="11"/>
      <c r="C12" s="11"/>
      <c r="D12" s="36"/>
      <c r="E12" s="20" t="s">
        <v>129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29</v>
      </c>
    </row>
    <row r="13" spans="1:14" x14ac:dyDescent="0.25">
      <c r="A13" s="30">
        <v>3</v>
      </c>
      <c r="B13" s="11"/>
      <c r="C13" s="11"/>
      <c r="D13" s="36"/>
      <c r="E13" s="20" t="s">
        <v>130</v>
      </c>
      <c r="F13" s="42">
        <v>0</v>
      </c>
      <c r="G13" s="42">
        <v>0</v>
      </c>
      <c r="H13" s="42">
        <v>0</v>
      </c>
      <c r="I13" s="42">
        <v>29</v>
      </c>
      <c r="J13" s="42">
        <v>0</v>
      </c>
      <c r="K13" s="42">
        <v>0</v>
      </c>
      <c r="L13" s="42">
        <v>0</v>
      </c>
      <c r="M13" s="42">
        <v>0</v>
      </c>
      <c r="N13" s="42">
        <v>29</v>
      </c>
    </row>
    <row r="14" spans="1:14" ht="25.5" x14ac:dyDescent="0.25">
      <c r="A14" s="30">
        <v>4</v>
      </c>
      <c r="B14" s="11" t="s">
        <v>134</v>
      </c>
      <c r="C14" s="11" t="s">
        <v>126</v>
      </c>
      <c r="D14" s="36" t="s">
        <v>127</v>
      </c>
      <c r="E14" s="20" t="s">
        <v>128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1</v>
      </c>
      <c r="L14" s="42">
        <v>0</v>
      </c>
      <c r="M14" s="42">
        <v>0</v>
      </c>
      <c r="N14" s="42">
        <v>1</v>
      </c>
    </row>
    <row r="15" spans="1:14" x14ac:dyDescent="0.25">
      <c r="A15" s="30">
        <v>4</v>
      </c>
      <c r="B15" s="11"/>
      <c r="C15" s="11"/>
      <c r="D15" s="36"/>
      <c r="E15" s="20" t="s">
        <v>129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1</v>
      </c>
      <c r="L15" s="42">
        <v>1</v>
      </c>
      <c r="M15" s="42">
        <v>0</v>
      </c>
      <c r="N15" s="42">
        <v>1</v>
      </c>
    </row>
    <row r="16" spans="1:14" x14ac:dyDescent="0.25">
      <c r="A16" s="30">
        <v>4</v>
      </c>
      <c r="B16" s="11"/>
      <c r="C16" s="11"/>
      <c r="D16" s="36"/>
      <c r="E16" s="20" t="s">
        <v>130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</row>
    <row r="17" spans="1:14" ht="25.5" x14ac:dyDescent="0.25">
      <c r="A17" s="30">
        <v>5</v>
      </c>
      <c r="B17" s="11" t="s">
        <v>135</v>
      </c>
      <c r="C17" s="11" t="s">
        <v>136</v>
      </c>
      <c r="D17" s="36" t="s">
        <v>127</v>
      </c>
      <c r="E17" s="20" t="s">
        <v>128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1</v>
      </c>
      <c r="L17" s="42">
        <v>0</v>
      </c>
      <c r="M17" s="42">
        <v>0</v>
      </c>
      <c r="N17" s="42">
        <v>1</v>
      </c>
    </row>
    <row r="18" spans="1:14" x14ac:dyDescent="0.25">
      <c r="A18" s="30">
        <v>5</v>
      </c>
      <c r="B18" s="11"/>
      <c r="C18" s="11"/>
      <c r="D18" s="36"/>
      <c r="E18" s="20" t="s">
        <v>129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1</v>
      </c>
      <c r="L18" s="42">
        <v>1</v>
      </c>
      <c r="M18" s="42">
        <v>0</v>
      </c>
      <c r="N18" s="42">
        <v>1</v>
      </c>
    </row>
    <row r="19" spans="1:14" x14ac:dyDescent="0.25">
      <c r="A19" s="30">
        <v>5</v>
      </c>
      <c r="B19" s="11"/>
      <c r="C19" s="11"/>
      <c r="D19" s="36"/>
      <c r="E19" s="20" t="s">
        <v>130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</row>
    <row r="20" spans="1:14" ht="25.5" x14ac:dyDescent="0.25">
      <c r="A20" s="30">
        <v>6</v>
      </c>
      <c r="B20" s="11" t="s">
        <v>137</v>
      </c>
      <c r="C20" s="11" t="s">
        <v>126</v>
      </c>
      <c r="D20" s="36" t="s">
        <v>127</v>
      </c>
      <c r="E20" s="20" t="s">
        <v>128</v>
      </c>
      <c r="F20" s="42">
        <v>0</v>
      </c>
      <c r="G20" s="42">
        <v>0</v>
      </c>
      <c r="H20" s="42">
        <v>0</v>
      </c>
      <c r="I20" s="42">
        <v>0</v>
      </c>
      <c r="J20" s="42">
        <v>1</v>
      </c>
      <c r="K20" s="42">
        <v>0</v>
      </c>
      <c r="L20" s="42">
        <v>0</v>
      </c>
      <c r="M20" s="42">
        <v>0</v>
      </c>
      <c r="N20" s="42">
        <v>1</v>
      </c>
    </row>
    <row r="21" spans="1:14" x14ac:dyDescent="0.25">
      <c r="A21" s="30">
        <v>6</v>
      </c>
      <c r="B21" s="11"/>
      <c r="C21" s="11"/>
      <c r="D21" s="36"/>
      <c r="E21" s="20" t="s">
        <v>129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1</v>
      </c>
      <c r="L21" s="42">
        <v>1</v>
      </c>
      <c r="M21" s="42">
        <v>0</v>
      </c>
      <c r="N21" s="42">
        <v>1</v>
      </c>
    </row>
    <row r="22" spans="1:14" x14ac:dyDescent="0.25">
      <c r="A22" s="30">
        <v>6</v>
      </c>
      <c r="B22" s="11"/>
      <c r="C22" s="11"/>
      <c r="D22" s="36"/>
      <c r="E22" s="20" t="s">
        <v>130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</row>
    <row r="23" spans="1:14" ht="25.5" x14ac:dyDescent="0.25">
      <c r="A23" s="30">
        <v>7</v>
      </c>
      <c r="B23" s="11" t="s">
        <v>138</v>
      </c>
      <c r="C23" s="11" t="s">
        <v>139</v>
      </c>
      <c r="D23" s="36" t="s">
        <v>93</v>
      </c>
      <c r="E23" s="20" t="s">
        <v>128</v>
      </c>
      <c r="F23" s="42">
        <v>0</v>
      </c>
      <c r="G23" s="42">
        <v>0</v>
      </c>
      <c r="H23" s="42">
        <v>0</v>
      </c>
      <c r="I23" s="42">
        <v>4</v>
      </c>
      <c r="J23" s="42">
        <v>7</v>
      </c>
      <c r="K23" s="42">
        <v>10</v>
      </c>
      <c r="L23" s="42">
        <v>14</v>
      </c>
      <c r="M23" s="42">
        <v>0</v>
      </c>
      <c r="N23" s="42">
        <v>35</v>
      </c>
    </row>
    <row r="24" spans="1:14" x14ac:dyDescent="0.25">
      <c r="A24" s="30">
        <v>7</v>
      </c>
      <c r="B24" s="11"/>
      <c r="C24" s="11"/>
      <c r="D24" s="36"/>
      <c r="E24" s="20" t="s">
        <v>129</v>
      </c>
      <c r="F24" s="42">
        <v>0</v>
      </c>
      <c r="G24" s="42">
        <v>0</v>
      </c>
      <c r="H24" s="42">
        <v>0</v>
      </c>
      <c r="I24" s="42">
        <v>2</v>
      </c>
      <c r="J24" s="42">
        <v>6</v>
      </c>
      <c r="K24" s="42">
        <v>2</v>
      </c>
      <c r="L24" s="42">
        <v>4</v>
      </c>
      <c r="M24" s="42">
        <v>6</v>
      </c>
      <c r="N24" s="42">
        <v>17</v>
      </c>
    </row>
    <row r="25" spans="1:14" x14ac:dyDescent="0.25">
      <c r="A25" s="30">
        <v>7</v>
      </c>
      <c r="B25" s="11"/>
      <c r="C25" s="11"/>
      <c r="D25" s="36"/>
      <c r="E25" s="20" t="s">
        <v>130</v>
      </c>
      <c r="F25" s="42">
        <v>0</v>
      </c>
      <c r="G25" s="42">
        <v>0</v>
      </c>
      <c r="H25" s="42">
        <v>0</v>
      </c>
      <c r="I25" s="42">
        <v>1</v>
      </c>
      <c r="J25" s="42">
        <v>5</v>
      </c>
      <c r="K25" s="42">
        <v>1</v>
      </c>
      <c r="L25" s="42">
        <v>8</v>
      </c>
      <c r="M25" s="42">
        <v>0</v>
      </c>
      <c r="N25" s="42">
        <v>12</v>
      </c>
    </row>
    <row r="26" spans="1:14" ht="25.5" x14ac:dyDescent="0.25">
      <c r="A26" s="30">
        <v>8</v>
      </c>
      <c r="B26" s="11" t="s">
        <v>140</v>
      </c>
      <c r="C26" s="11" t="s">
        <v>141</v>
      </c>
      <c r="D26" s="36" t="s">
        <v>127</v>
      </c>
      <c r="E26" s="20" t="s">
        <v>128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</row>
    <row r="27" spans="1:14" x14ac:dyDescent="0.25">
      <c r="A27" s="30">
        <v>8</v>
      </c>
      <c r="B27" s="11"/>
      <c r="C27" s="11"/>
      <c r="D27" s="36"/>
      <c r="E27" s="20" t="s">
        <v>129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1</v>
      </c>
      <c r="N27" s="42">
        <v>1</v>
      </c>
    </row>
    <row r="28" spans="1:14" x14ac:dyDescent="0.25">
      <c r="A28" s="30">
        <v>8</v>
      </c>
      <c r="B28" s="11"/>
      <c r="C28" s="11"/>
      <c r="D28" s="36"/>
      <c r="E28" s="20" t="s">
        <v>130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</row>
    <row r="29" spans="1:14" ht="25.5" x14ac:dyDescent="0.25">
      <c r="A29" s="30">
        <v>9</v>
      </c>
      <c r="B29" s="11" t="s">
        <v>142</v>
      </c>
      <c r="C29" s="11" t="s">
        <v>126</v>
      </c>
      <c r="D29" s="36" t="s">
        <v>127</v>
      </c>
      <c r="E29" s="20" t="s">
        <v>128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1</v>
      </c>
      <c r="L29" s="42">
        <v>0</v>
      </c>
      <c r="M29" s="42">
        <v>0</v>
      </c>
      <c r="N29" s="42">
        <v>1</v>
      </c>
    </row>
    <row r="30" spans="1:14" x14ac:dyDescent="0.25">
      <c r="A30" s="30">
        <v>9</v>
      </c>
      <c r="B30" s="11"/>
      <c r="C30" s="11"/>
      <c r="D30" s="36"/>
      <c r="E30" s="20" t="s">
        <v>129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1</v>
      </c>
      <c r="M30" s="42">
        <v>0</v>
      </c>
      <c r="N30" s="42">
        <v>1</v>
      </c>
    </row>
    <row r="31" spans="1:14" x14ac:dyDescent="0.25">
      <c r="A31" s="30">
        <v>9</v>
      </c>
      <c r="B31" s="11"/>
      <c r="C31" s="11"/>
      <c r="D31" s="36"/>
      <c r="E31" s="20" t="s">
        <v>130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</row>
    <row r="32" spans="1:14" ht="25.5" x14ac:dyDescent="0.25">
      <c r="A32" s="30">
        <v>10</v>
      </c>
      <c r="B32" s="11" t="s">
        <v>143</v>
      </c>
      <c r="C32" s="11" t="s">
        <v>126</v>
      </c>
      <c r="D32" s="36" t="s">
        <v>127</v>
      </c>
      <c r="E32" s="20" t="s">
        <v>128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1</v>
      </c>
      <c r="L32" s="42">
        <v>0</v>
      </c>
      <c r="M32" s="42">
        <v>0</v>
      </c>
      <c r="N32" s="42">
        <v>1</v>
      </c>
    </row>
    <row r="33" spans="1:14" x14ac:dyDescent="0.25">
      <c r="A33" s="30">
        <v>10</v>
      </c>
      <c r="B33" s="11"/>
      <c r="C33" s="11"/>
      <c r="D33" s="36"/>
      <c r="E33" s="20" t="s">
        <v>129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1</v>
      </c>
      <c r="M33" s="42">
        <v>0</v>
      </c>
      <c r="N33" s="42">
        <v>1</v>
      </c>
    </row>
    <row r="34" spans="1:14" x14ac:dyDescent="0.25">
      <c r="A34" s="30">
        <v>10</v>
      </c>
      <c r="B34" s="11"/>
      <c r="C34" s="11"/>
      <c r="D34" s="36"/>
      <c r="E34" s="20" t="s">
        <v>130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</row>
    <row r="35" spans="1:14" ht="38.25" x14ac:dyDescent="0.25">
      <c r="A35" s="30">
        <v>11</v>
      </c>
      <c r="B35" s="11" t="s">
        <v>144</v>
      </c>
      <c r="C35" s="11" t="s">
        <v>145</v>
      </c>
      <c r="D35" s="36" t="s">
        <v>127</v>
      </c>
      <c r="E35" s="20" t="s">
        <v>128</v>
      </c>
      <c r="F35" s="42">
        <v>0</v>
      </c>
      <c r="G35" s="42">
        <v>0</v>
      </c>
      <c r="H35" s="42">
        <v>3</v>
      </c>
      <c r="I35" s="42">
        <v>4</v>
      </c>
      <c r="J35" s="42">
        <v>4</v>
      </c>
      <c r="K35" s="42">
        <v>4</v>
      </c>
      <c r="L35" s="42">
        <v>0</v>
      </c>
      <c r="M35" s="42">
        <v>0</v>
      </c>
      <c r="N35" s="42">
        <v>15</v>
      </c>
    </row>
    <row r="36" spans="1:14" x14ac:dyDescent="0.25">
      <c r="A36" s="30">
        <v>11</v>
      </c>
      <c r="B36" s="11"/>
      <c r="C36" s="11"/>
      <c r="D36" s="36"/>
      <c r="E36" s="20" t="s">
        <v>129</v>
      </c>
      <c r="F36" s="42">
        <v>0</v>
      </c>
      <c r="G36" s="42">
        <v>0</v>
      </c>
      <c r="H36" s="42">
        <v>3</v>
      </c>
      <c r="I36" s="42">
        <v>4</v>
      </c>
      <c r="J36" s="42">
        <v>4</v>
      </c>
      <c r="K36" s="42">
        <v>4</v>
      </c>
      <c r="L36" s="42">
        <v>0</v>
      </c>
      <c r="M36" s="42">
        <v>0</v>
      </c>
      <c r="N36" s="42">
        <v>15</v>
      </c>
    </row>
    <row r="37" spans="1:14" x14ac:dyDescent="0.25">
      <c r="A37" s="30">
        <v>11</v>
      </c>
      <c r="B37" s="11"/>
      <c r="C37" s="11"/>
      <c r="D37" s="36"/>
      <c r="E37" s="20" t="s">
        <v>130</v>
      </c>
      <c r="F37" s="42">
        <v>0</v>
      </c>
      <c r="G37" s="42">
        <v>0</v>
      </c>
      <c r="H37" s="42">
        <v>1</v>
      </c>
      <c r="I37" s="42">
        <v>6</v>
      </c>
      <c r="J37" s="42">
        <v>4</v>
      </c>
      <c r="K37" s="42">
        <v>4</v>
      </c>
      <c r="L37" s="42">
        <v>0</v>
      </c>
      <c r="M37" s="42">
        <v>0</v>
      </c>
      <c r="N37" s="42">
        <v>15</v>
      </c>
    </row>
    <row r="38" spans="1:14" ht="25.5" x14ac:dyDescent="0.25">
      <c r="A38" s="30">
        <v>12</v>
      </c>
      <c r="B38" s="11" t="s">
        <v>146</v>
      </c>
      <c r="C38" s="11" t="s">
        <v>126</v>
      </c>
      <c r="D38" s="36" t="s">
        <v>127</v>
      </c>
      <c r="E38" s="20" t="s">
        <v>128</v>
      </c>
      <c r="F38" s="42">
        <v>0</v>
      </c>
      <c r="G38" s="42">
        <v>0</v>
      </c>
      <c r="H38" s="42">
        <v>0</v>
      </c>
      <c r="I38" s="42">
        <v>0</v>
      </c>
      <c r="J38" s="42">
        <v>1</v>
      </c>
      <c r="K38" s="42">
        <v>0</v>
      </c>
      <c r="L38" s="42">
        <v>0</v>
      </c>
      <c r="M38" s="42">
        <v>0</v>
      </c>
      <c r="N38" s="42">
        <v>1</v>
      </c>
    </row>
    <row r="39" spans="1:14" x14ac:dyDescent="0.25">
      <c r="A39" s="30">
        <v>12</v>
      </c>
      <c r="B39" s="11"/>
      <c r="C39" s="11"/>
      <c r="D39" s="36"/>
      <c r="E39" s="20" t="s">
        <v>129</v>
      </c>
      <c r="F39" s="42">
        <v>0</v>
      </c>
      <c r="G39" s="42">
        <v>0</v>
      </c>
      <c r="H39" s="42">
        <v>0</v>
      </c>
      <c r="I39" s="42">
        <v>0</v>
      </c>
      <c r="J39" s="42">
        <v>1</v>
      </c>
      <c r="K39" s="42">
        <v>0</v>
      </c>
      <c r="L39" s="42">
        <v>0</v>
      </c>
      <c r="M39" s="42">
        <v>0</v>
      </c>
      <c r="N39" s="42">
        <v>1</v>
      </c>
    </row>
    <row r="40" spans="1:14" x14ac:dyDescent="0.25">
      <c r="A40" s="30">
        <v>12</v>
      </c>
      <c r="B40" s="11"/>
      <c r="C40" s="11"/>
      <c r="D40" s="36"/>
      <c r="E40" s="20" t="s">
        <v>130</v>
      </c>
      <c r="F40" s="42">
        <v>0</v>
      </c>
      <c r="G40" s="42">
        <v>0</v>
      </c>
      <c r="H40" s="42">
        <v>0</v>
      </c>
      <c r="I40" s="42">
        <v>0</v>
      </c>
      <c r="J40" s="42">
        <v>1</v>
      </c>
      <c r="K40" s="42">
        <v>0</v>
      </c>
      <c r="L40" s="42">
        <v>0</v>
      </c>
      <c r="M40" s="42">
        <v>0</v>
      </c>
      <c r="N40" s="42">
        <v>1</v>
      </c>
    </row>
    <row r="41" spans="1:14" ht="25.5" x14ac:dyDescent="0.25">
      <c r="A41" s="30">
        <v>13</v>
      </c>
      <c r="B41" s="11" t="s">
        <v>147</v>
      </c>
      <c r="C41" s="11" t="s">
        <v>126</v>
      </c>
      <c r="D41" s="36" t="s">
        <v>127</v>
      </c>
      <c r="E41" s="20" t="s">
        <v>128</v>
      </c>
      <c r="F41" s="42">
        <v>0</v>
      </c>
      <c r="G41" s="42">
        <v>0</v>
      </c>
      <c r="H41" s="42">
        <v>0</v>
      </c>
      <c r="I41" s="42">
        <v>0</v>
      </c>
      <c r="J41" s="42">
        <v>1</v>
      </c>
      <c r="K41" s="42">
        <v>0</v>
      </c>
      <c r="L41" s="42">
        <v>0</v>
      </c>
      <c r="M41" s="42">
        <v>0</v>
      </c>
      <c r="N41" s="42">
        <v>1</v>
      </c>
    </row>
    <row r="42" spans="1:14" x14ac:dyDescent="0.25">
      <c r="A42" s="30">
        <v>13</v>
      </c>
      <c r="B42" s="11"/>
      <c r="C42" s="11"/>
      <c r="D42" s="36"/>
      <c r="E42" s="20" t="s">
        <v>129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1</v>
      </c>
      <c r="L42" s="42">
        <v>1</v>
      </c>
      <c r="M42" s="42">
        <v>0</v>
      </c>
      <c r="N42" s="42">
        <v>1</v>
      </c>
    </row>
    <row r="43" spans="1:14" x14ac:dyDescent="0.25">
      <c r="A43" s="30">
        <v>13</v>
      </c>
      <c r="B43" s="11"/>
      <c r="C43" s="11"/>
      <c r="D43" s="36"/>
      <c r="E43" s="20" t="s">
        <v>130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</row>
    <row r="44" spans="1:14" x14ac:dyDescent="0.25">
      <c r="A44" s="30">
        <v>14</v>
      </c>
      <c r="B44" s="11" t="s">
        <v>148</v>
      </c>
      <c r="C44" s="11" t="s">
        <v>136</v>
      </c>
      <c r="D44" s="36" t="s">
        <v>127</v>
      </c>
      <c r="E44" s="20" t="s">
        <v>128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1</v>
      </c>
      <c r="L44" s="42">
        <v>0</v>
      </c>
      <c r="M44" s="42">
        <v>0</v>
      </c>
      <c r="N44" s="42">
        <v>1</v>
      </c>
    </row>
    <row r="45" spans="1:14" x14ac:dyDescent="0.25">
      <c r="A45" s="30">
        <v>14</v>
      </c>
      <c r="B45" s="11"/>
      <c r="C45" s="11"/>
      <c r="D45" s="36"/>
      <c r="E45" s="20" t="s">
        <v>129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1</v>
      </c>
      <c r="M45" s="42">
        <v>0</v>
      </c>
      <c r="N45" s="42">
        <v>1</v>
      </c>
    </row>
    <row r="46" spans="1:14" x14ac:dyDescent="0.25">
      <c r="A46" s="30">
        <v>14</v>
      </c>
      <c r="B46" s="11"/>
      <c r="C46" s="11"/>
      <c r="D46" s="36"/>
      <c r="E46" s="20" t="s">
        <v>130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</row>
    <row r="47" spans="1:14" x14ac:dyDescent="0.25">
      <c r="A47" s="30">
        <v>15</v>
      </c>
      <c r="B47" s="11" t="s">
        <v>149</v>
      </c>
      <c r="C47" s="11" t="s">
        <v>150</v>
      </c>
      <c r="D47" s="36" t="s">
        <v>93</v>
      </c>
      <c r="E47" s="20" t="s">
        <v>128</v>
      </c>
      <c r="F47" s="42">
        <v>0</v>
      </c>
      <c r="G47" s="42">
        <v>0</v>
      </c>
      <c r="H47" s="42">
        <v>0</v>
      </c>
      <c r="I47" s="42">
        <v>0</v>
      </c>
      <c r="J47" s="42">
        <v>1</v>
      </c>
      <c r="K47" s="42">
        <v>3</v>
      </c>
      <c r="L47" s="42">
        <v>4</v>
      </c>
      <c r="M47" s="42">
        <v>0</v>
      </c>
      <c r="N47" s="42">
        <v>8</v>
      </c>
    </row>
    <row r="48" spans="1:14" x14ac:dyDescent="0.25">
      <c r="A48" s="30">
        <v>15</v>
      </c>
      <c r="B48" s="11"/>
      <c r="C48" s="11"/>
      <c r="D48" s="36"/>
      <c r="E48" s="20" t="s">
        <v>129</v>
      </c>
      <c r="F48" s="42">
        <v>0</v>
      </c>
      <c r="G48" s="42">
        <v>0</v>
      </c>
      <c r="H48" s="42">
        <v>0</v>
      </c>
      <c r="I48" s="42">
        <v>0</v>
      </c>
      <c r="J48" s="42">
        <v>3</v>
      </c>
      <c r="K48" s="42">
        <v>2</v>
      </c>
      <c r="L48" s="42">
        <v>1</v>
      </c>
      <c r="M48" s="42">
        <v>4</v>
      </c>
      <c r="N48" s="42">
        <v>8</v>
      </c>
    </row>
    <row r="49" spans="1:14" x14ac:dyDescent="0.25">
      <c r="A49" s="30">
        <v>15</v>
      </c>
      <c r="B49" s="11"/>
      <c r="C49" s="11"/>
      <c r="D49" s="36"/>
      <c r="E49" s="20" t="s">
        <v>130</v>
      </c>
      <c r="F49" s="42">
        <v>0</v>
      </c>
      <c r="G49" s="42">
        <v>0</v>
      </c>
      <c r="H49" s="42">
        <v>0</v>
      </c>
      <c r="I49" s="42">
        <v>0</v>
      </c>
      <c r="J49" s="42">
        <v>1</v>
      </c>
      <c r="K49" s="42">
        <v>2</v>
      </c>
      <c r="L49" s="42">
        <v>1</v>
      </c>
      <c r="M49" s="42">
        <v>0</v>
      </c>
      <c r="N49" s="42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"/>
  <sheetViews>
    <sheetView zoomScaleNormal="100" workbookViewId="0">
      <pane xSplit="5" ySplit="4" topLeftCell="F17" activePane="bottomRight" state="frozen"/>
      <selection pane="topRight" activeCell="F1" sqref="F1"/>
      <selection pane="bottomLeft" activeCell="A5" sqref="A5"/>
      <selection pane="bottomRight"/>
    </sheetView>
  </sheetViews>
  <sheetFormatPr defaultColWidth="8.7109375" defaultRowHeight="15" x14ac:dyDescent="0.25"/>
  <cols>
    <col min="1" max="1" width="5" customWidth="1"/>
    <col min="2" max="2" width="60" customWidth="1"/>
    <col min="3" max="3" width="16" customWidth="1"/>
    <col min="4" max="4" width="10" customWidth="1"/>
    <col min="5" max="5" width="6" customWidth="1"/>
    <col min="6" max="14" width="13" customWidth="1"/>
  </cols>
  <sheetData>
    <row r="1" spans="1:14" x14ac:dyDescent="0.25">
      <c r="A1" s="29" t="s">
        <v>151</v>
      </c>
    </row>
    <row r="4" spans="1:14" ht="25.5" x14ac:dyDescent="0.25">
      <c r="A4" s="8" t="s">
        <v>74</v>
      </c>
      <c r="B4" s="8" t="s">
        <v>75</v>
      </c>
      <c r="C4" s="8" t="s">
        <v>121</v>
      </c>
      <c r="D4" s="8" t="s">
        <v>122</v>
      </c>
      <c r="E4" s="8" t="s">
        <v>123</v>
      </c>
      <c r="F4" s="8">
        <v>2020</v>
      </c>
      <c r="G4" s="8">
        <v>2021</v>
      </c>
      <c r="H4" s="8">
        <v>2022</v>
      </c>
      <c r="I4" s="8">
        <v>2023</v>
      </c>
      <c r="J4" s="8">
        <v>2024</v>
      </c>
      <c r="K4" s="8">
        <v>2025</v>
      </c>
      <c r="L4" s="8">
        <v>2026</v>
      </c>
      <c r="M4" s="8">
        <v>2027</v>
      </c>
      <c r="N4" s="8" t="s">
        <v>124</v>
      </c>
    </row>
    <row r="5" spans="1:14" x14ac:dyDescent="0.25">
      <c r="A5" s="30">
        <v>1</v>
      </c>
      <c r="B5" s="11" t="s">
        <v>125</v>
      </c>
      <c r="C5" s="11" t="s">
        <v>126</v>
      </c>
      <c r="D5" s="36" t="s">
        <v>127</v>
      </c>
      <c r="E5" s="20" t="s">
        <v>128</v>
      </c>
      <c r="F5" s="33">
        <v>0</v>
      </c>
      <c r="G5" s="33">
        <v>0</v>
      </c>
      <c r="H5" s="33">
        <v>0</v>
      </c>
      <c r="I5" s="33">
        <v>64891</v>
      </c>
      <c r="J5" s="33">
        <v>693120</v>
      </c>
      <c r="K5" s="33">
        <v>0</v>
      </c>
      <c r="L5" s="33">
        <v>0</v>
      </c>
      <c r="M5" s="33">
        <v>0</v>
      </c>
      <c r="N5" s="33">
        <v>758011</v>
      </c>
    </row>
    <row r="6" spans="1:14" x14ac:dyDescent="0.25">
      <c r="A6" s="30">
        <v>1</v>
      </c>
      <c r="B6" s="11"/>
      <c r="C6" s="11"/>
      <c r="D6" s="36"/>
      <c r="E6" s="20" t="s">
        <v>129</v>
      </c>
      <c r="F6" s="33">
        <v>0</v>
      </c>
      <c r="G6" s="33">
        <v>0</v>
      </c>
      <c r="H6" s="33">
        <v>0</v>
      </c>
      <c r="I6" s="33">
        <v>195000</v>
      </c>
      <c r="J6" s="33">
        <v>255976</v>
      </c>
      <c r="K6" s="33">
        <v>0</v>
      </c>
      <c r="L6" s="33">
        <v>0</v>
      </c>
      <c r="M6" s="33">
        <v>0</v>
      </c>
      <c r="N6" s="33">
        <v>224656.16</v>
      </c>
    </row>
    <row r="7" spans="1:14" x14ac:dyDescent="0.25">
      <c r="A7" s="30">
        <v>1</v>
      </c>
      <c r="B7" s="11"/>
      <c r="C7" s="11"/>
      <c r="D7" s="36"/>
      <c r="E7" s="20" t="s">
        <v>130</v>
      </c>
      <c r="F7" s="33">
        <v>0</v>
      </c>
      <c r="G7" s="33">
        <v>0</v>
      </c>
      <c r="H7" s="33">
        <v>17510</v>
      </c>
      <c r="I7" s="33">
        <v>4680</v>
      </c>
      <c r="J7" s="33">
        <v>202466.16</v>
      </c>
      <c r="K7" s="33">
        <v>0</v>
      </c>
      <c r="L7" s="33">
        <v>0</v>
      </c>
      <c r="M7" s="33">
        <v>0</v>
      </c>
      <c r="N7" s="33">
        <v>224656.16</v>
      </c>
    </row>
    <row r="8" spans="1:14" ht="25.5" x14ac:dyDescent="0.25">
      <c r="A8" s="30">
        <v>2</v>
      </c>
      <c r="B8" s="11" t="s">
        <v>131</v>
      </c>
      <c r="C8" s="11" t="s">
        <v>126</v>
      </c>
      <c r="D8" s="36" t="s">
        <v>127</v>
      </c>
      <c r="E8" s="20" t="s">
        <v>128</v>
      </c>
      <c r="F8" s="33">
        <v>0</v>
      </c>
      <c r="G8" s="33">
        <v>0</v>
      </c>
      <c r="H8" s="33">
        <v>0</v>
      </c>
      <c r="I8" s="33">
        <v>67500</v>
      </c>
      <c r="J8" s="33">
        <v>2979157</v>
      </c>
      <c r="K8" s="33">
        <v>57800</v>
      </c>
      <c r="L8" s="33">
        <v>0</v>
      </c>
      <c r="M8" s="33">
        <v>0</v>
      </c>
      <c r="N8" s="33">
        <v>3104457</v>
      </c>
    </row>
    <row r="9" spans="1:14" x14ac:dyDescent="0.25">
      <c r="A9" s="30">
        <v>2</v>
      </c>
      <c r="B9" s="11"/>
      <c r="C9" s="11"/>
      <c r="D9" s="36"/>
      <c r="E9" s="20" t="s">
        <v>129</v>
      </c>
      <c r="F9" s="33">
        <v>0</v>
      </c>
      <c r="G9" s="33">
        <v>0</v>
      </c>
      <c r="H9" s="33">
        <v>0</v>
      </c>
      <c r="I9" s="33">
        <v>0</v>
      </c>
      <c r="J9" s="33">
        <v>4680</v>
      </c>
      <c r="K9" s="33">
        <v>0</v>
      </c>
      <c r="L9" s="33">
        <v>0</v>
      </c>
      <c r="M9" s="33">
        <v>0</v>
      </c>
      <c r="N9" s="33">
        <v>23360</v>
      </c>
    </row>
    <row r="10" spans="1:14" x14ac:dyDescent="0.25">
      <c r="A10" s="30">
        <v>2</v>
      </c>
      <c r="B10" s="11"/>
      <c r="C10" s="11"/>
      <c r="D10" s="36"/>
      <c r="E10" s="20" t="s">
        <v>130</v>
      </c>
      <c r="F10" s="33">
        <v>0</v>
      </c>
      <c r="G10" s="33">
        <v>0</v>
      </c>
      <c r="H10" s="33">
        <v>17510</v>
      </c>
      <c r="I10" s="33">
        <v>4680</v>
      </c>
      <c r="J10" s="33">
        <v>1170</v>
      </c>
      <c r="K10" s="33">
        <v>0</v>
      </c>
      <c r="L10" s="33">
        <v>0</v>
      </c>
      <c r="M10" s="33">
        <v>0</v>
      </c>
      <c r="N10" s="33">
        <v>23360</v>
      </c>
    </row>
    <row r="11" spans="1:14" ht="25.5" x14ac:dyDescent="0.25">
      <c r="A11" s="30">
        <v>3</v>
      </c>
      <c r="B11" s="11" t="s">
        <v>132</v>
      </c>
      <c r="C11" s="11" t="s">
        <v>133</v>
      </c>
      <c r="D11" s="36" t="s">
        <v>127</v>
      </c>
      <c r="E11" s="20" t="s">
        <v>128</v>
      </c>
      <c r="F11" s="33">
        <v>0</v>
      </c>
      <c r="G11" s="33">
        <v>0</v>
      </c>
      <c r="H11" s="33">
        <v>0</v>
      </c>
      <c r="I11" s="33">
        <v>13500</v>
      </c>
      <c r="J11" s="33">
        <v>220500</v>
      </c>
      <c r="K11" s="33">
        <v>66000</v>
      </c>
      <c r="L11" s="33">
        <v>0</v>
      </c>
      <c r="M11" s="33">
        <v>0</v>
      </c>
      <c r="N11" s="33">
        <v>300000</v>
      </c>
    </row>
    <row r="12" spans="1:14" x14ac:dyDescent="0.25">
      <c r="A12" s="30">
        <v>3</v>
      </c>
      <c r="B12" s="11"/>
      <c r="C12" s="11"/>
      <c r="D12" s="36"/>
      <c r="E12" s="20" t="s">
        <v>129</v>
      </c>
      <c r="F12" s="33">
        <v>0</v>
      </c>
      <c r="G12" s="33">
        <v>0</v>
      </c>
      <c r="H12" s="33">
        <v>0</v>
      </c>
      <c r="I12" s="33">
        <v>151348</v>
      </c>
      <c r="J12" s="33">
        <v>62513</v>
      </c>
      <c r="K12" s="33">
        <v>0</v>
      </c>
      <c r="L12" s="33">
        <v>0</v>
      </c>
      <c r="M12" s="33">
        <v>0</v>
      </c>
      <c r="N12" s="33">
        <v>140489.60000000001</v>
      </c>
    </row>
    <row r="13" spans="1:14" x14ac:dyDescent="0.25">
      <c r="A13" s="30">
        <v>3</v>
      </c>
      <c r="B13" s="11"/>
      <c r="C13" s="11"/>
      <c r="D13" s="36"/>
      <c r="E13" s="20" t="s">
        <v>130</v>
      </c>
      <c r="F13" s="33">
        <v>0</v>
      </c>
      <c r="G13" s="33">
        <v>0</v>
      </c>
      <c r="H13" s="33">
        <v>34226.5</v>
      </c>
      <c r="I13" s="33">
        <v>96930.59</v>
      </c>
      <c r="J13" s="33">
        <v>9332.51</v>
      </c>
      <c r="K13" s="33">
        <v>0</v>
      </c>
      <c r="L13" s="33">
        <v>0</v>
      </c>
      <c r="M13" s="33">
        <v>0</v>
      </c>
      <c r="N13" s="33">
        <v>140489.60000000001</v>
      </c>
    </row>
    <row r="14" spans="1:14" ht="25.5" x14ac:dyDescent="0.25">
      <c r="A14" s="30">
        <v>4</v>
      </c>
      <c r="B14" s="11" t="s">
        <v>134</v>
      </c>
      <c r="C14" s="11" t="s">
        <v>126</v>
      </c>
      <c r="D14" s="36" t="s">
        <v>127</v>
      </c>
      <c r="E14" s="20" t="s">
        <v>128</v>
      </c>
      <c r="F14" s="33">
        <v>0</v>
      </c>
      <c r="G14" s="33">
        <v>0</v>
      </c>
      <c r="H14" s="33">
        <v>36068</v>
      </c>
      <c r="I14" s="33">
        <v>442733</v>
      </c>
      <c r="J14" s="33">
        <v>977900</v>
      </c>
      <c r="K14" s="33">
        <v>146300</v>
      </c>
      <c r="L14" s="33">
        <v>0</v>
      </c>
      <c r="M14" s="33">
        <v>0</v>
      </c>
      <c r="N14" s="33">
        <v>1603001</v>
      </c>
    </row>
    <row r="15" spans="1:14" x14ac:dyDescent="0.25">
      <c r="A15" s="30">
        <v>4</v>
      </c>
      <c r="B15" s="11"/>
      <c r="C15" s="11"/>
      <c r="D15" s="36"/>
      <c r="E15" s="20" t="s">
        <v>129</v>
      </c>
      <c r="F15" s="33">
        <v>0</v>
      </c>
      <c r="G15" s="33">
        <v>0</v>
      </c>
      <c r="H15" s="33">
        <v>36068</v>
      </c>
      <c r="I15" s="33">
        <v>129352</v>
      </c>
      <c r="J15" s="33">
        <v>59013</v>
      </c>
      <c r="K15" s="33">
        <v>683150.38</v>
      </c>
      <c r="L15" s="33">
        <v>806934.43</v>
      </c>
      <c r="M15" s="33">
        <v>0</v>
      </c>
      <c r="N15" s="33">
        <v>1399764.24</v>
      </c>
    </row>
    <row r="16" spans="1:14" x14ac:dyDescent="0.25">
      <c r="A16" s="30">
        <v>4</v>
      </c>
      <c r="B16" s="11"/>
      <c r="C16" s="11"/>
      <c r="D16" s="36"/>
      <c r="E16" s="20" t="s">
        <v>130</v>
      </c>
      <c r="F16" s="33">
        <v>0</v>
      </c>
      <c r="G16" s="33">
        <v>0</v>
      </c>
      <c r="H16" s="33">
        <v>34226.5</v>
      </c>
      <c r="I16" s="33">
        <v>83796.67</v>
      </c>
      <c r="J16" s="33">
        <v>164071.04999999999</v>
      </c>
      <c r="K16" s="33">
        <v>310735.59000000003</v>
      </c>
      <c r="L16" s="33">
        <v>242643.82</v>
      </c>
      <c r="M16" s="33">
        <v>0</v>
      </c>
      <c r="N16" s="33">
        <v>835473.63</v>
      </c>
    </row>
    <row r="17" spans="1:14" ht="25.5" x14ac:dyDescent="0.25">
      <c r="A17" s="30">
        <v>5</v>
      </c>
      <c r="B17" s="11" t="s">
        <v>135</v>
      </c>
      <c r="C17" s="11" t="s">
        <v>136</v>
      </c>
      <c r="D17" s="36" t="s">
        <v>127</v>
      </c>
      <c r="E17" s="20" t="s">
        <v>128</v>
      </c>
      <c r="F17" s="33">
        <v>0</v>
      </c>
      <c r="G17" s="33">
        <v>0</v>
      </c>
      <c r="H17" s="33">
        <v>0</v>
      </c>
      <c r="I17" s="33">
        <v>0</v>
      </c>
      <c r="J17" s="33">
        <v>94167</v>
      </c>
      <c r="K17" s="33">
        <v>55833</v>
      </c>
      <c r="L17" s="33">
        <v>0</v>
      </c>
      <c r="M17" s="33">
        <v>0</v>
      </c>
      <c r="N17" s="33">
        <v>150000</v>
      </c>
    </row>
    <row r="18" spans="1:14" x14ac:dyDescent="0.25">
      <c r="A18" s="30">
        <v>5</v>
      </c>
      <c r="B18" s="11"/>
      <c r="C18" s="11"/>
      <c r="D18" s="36"/>
      <c r="E18" s="20" t="s">
        <v>129</v>
      </c>
      <c r="F18" s="33">
        <v>0</v>
      </c>
      <c r="G18" s="33">
        <v>0</v>
      </c>
      <c r="H18" s="33">
        <v>0</v>
      </c>
      <c r="I18" s="33">
        <v>0</v>
      </c>
      <c r="J18" s="33">
        <v>10000</v>
      </c>
      <c r="K18" s="33">
        <v>52848.33</v>
      </c>
      <c r="L18" s="33">
        <v>43162.5</v>
      </c>
      <c r="M18" s="33">
        <v>0</v>
      </c>
      <c r="N18" s="33">
        <v>130000</v>
      </c>
    </row>
    <row r="19" spans="1:14" x14ac:dyDescent="0.25">
      <c r="A19" s="30">
        <v>5</v>
      </c>
      <c r="B19" s="11"/>
      <c r="C19" s="11"/>
      <c r="D19" s="36"/>
      <c r="E19" s="20" t="s">
        <v>130</v>
      </c>
      <c r="F19" s="33">
        <v>0</v>
      </c>
      <c r="G19" s="33">
        <v>0</v>
      </c>
      <c r="H19" s="33">
        <v>0</v>
      </c>
      <c r="I19" s="33">
        <v>0</v>
      </c>
      <c r="J19" s="33">
        <v>18375</v>
      </c>
      <c r="K19" s="33">
        <v>68462.5</v>
      </c>
      <c r="L19" s="33">
        <v>10800</v>
      </c>
      <c r="M19" s="33">
        <v>0</v>
      </c>
      <c r="N19" s="33">
        <v>97637.5</v>
      </c>
    </row>
    <row r="20" spans="1:14" ht="25.5" x14ac:dyDescent="0.25">
      <c r="A20" s="30">
        <v>6</v>
      </c>
      <c r="B20" s="11" t="s">
        <v>137</v>
      </c>
      <c r="C20" s="11" t="s">
        <v>126</v>
      </c>
      <c r="D20" s="36" t="s">
        <v>127</v>
      </c>
      <c r="E20" s="20" t="s">
        <v>128</v>
      </c>
      <c r="F20" s="33">
        <v>0</v>
      </c>
      <c r="G20" s="33">
        <v>0</v>
      </c>
      <c r="H20" s="33">
        <v>0</v>
      </c>
      <c r="I20" s="33">
        <v>40000</v>
      </c>
      <c r="J20" s="33">
        <v>144450</v>
      </c>
      <c r="K20" s="33">
        <v>65550</v>
      </c>
      <c r="L20" s="33">
        <v>0</v>
      </c>
      <c r="M20" s="33">
        <v>0</v>
      </c>
      <c r="N20" s="33">
        <v>250000</v>
      </c>
    </row>
    <row r="21" spans="1:14" x14ac:dyDescent="0.25">
      <c r="A21" s="30">
        <v>6</v>
      </c>
      <c r="B21" s="11"/>
      <c r="C21" s="11"/>
      <c r="D21" s="36"/>
      <c r="E21" s="20" t="s">
        <v>129</v>
      </c>
      <c r="F21" s="33">
        <v>0</v>
      </c>
      <c r="G21" s="33">
        <v>0</v>
      </c>
      <c r="H21" s="33">
        <v>0</v>
      </c>
      <c r="I21" s="33">
        <v>42990</v>
      </c>
      <c r="J21" s="33">
        <v>50813</v>
      </c>
      <c r="K21" s="33">
        <v>331486</v>
      </c>
      <c r="L21" s="33">
        <v>132506.09</v>
      </c>
      <c r="M21" s="33">
        <v>0</v>
      </c>
      <c r="N21" s="33">
        <v>365000</v>
      </c>
    </row>
    <row r="22" spans="1:14" x14ac:dyDescent="0.25">
      <c r="A22" s="30">
        <v>6</v>
      </c>
      <c r="B22" s="11"/>
      <c r="C22" s="11"/>
      <c r="D22" s="36"/>
      <c r="E22" s="20" t="s">
        <v>130</v>
      </c>
      <c r="F22" s="33">
        <v>0</v>
      </c>
      <c r="G22" s="33">
        <v>0</v>
      </c>
      <c r="H22" s="33">
        <v>3510</v>
      </c>
      <c r="I22" s="33">
        <v>18580</v>
      </c>
      <c r="J22" s="33">
        <v>59200</v>
      </c>
      <c r="K22" s="33">
        <v>151203.91</v>
      </c>
      <c r="L22" s="33">
        <v>44753.04</v>
      </c>
      <c r="M22" s="33">
        <v>0</v>
      </c>
      <c r="N22" s="33">
        <v>277246.95</v>
      </c>
    </row>
    <row r="23" spans="1:14" ht="25.5" x14ac:dyDescent="0.25">
      <c r="A23" s="30">
        <v>7</v>
      </c>
      <c r="B23" s="11" t="s">
        <v>138</v>
      </c>
      <c r="C23" s="11" t="s">
        <v>139</v>
      </c>
      <c r="D23" s="36" t="s">
        <v>93</v>
      </c>
      <c r="E23" s="20" t="s">
        <v>128</v>
      </c>
      <c r="F23" s="33">
        <v>0</v>
      </c>
      <c r="G23" s="33">
        <v>0</v>
      </c>
      <c r="H23" s="33">
        <v>1890878</v>
      </c>
      <c r="I23" s="33">
        <v>5454037</v>
      </c>
      <c r="J23" s="33">
        <v>16701808</v>
      </c>
      <c r="K23" s="33">
        <v>20600459</v>
      </c>
      <c r="L23" s="33">
        <v>12187349</v>
      </c>
      <c r="M23" s="33">
        <v>0</v>
      </c>
      <c r="N23" s="33">
        <v>56834531</v>
      </c>
    </row>
    <row r="24" spans="1:14" x14ac:dyDescent="0.25">
      <c r="A24" s="30">
        <v>7</v>
      </c>
      <c r="B24" s="11"/>
      <c r="C24" s="11"/>
      <c r="D24" s="36"/>
      <c r="E24" s="20" t="s">
        <v>129</v>
      </c>
      <c r="F24" s="33">
        <v>0</v>
      </c>
      <c r="G24" s="33">
        <v>0</v>
      </c>
      <c r="H24" s="33">
        <v>1890878</v>
      </c>
      <c r="I24" s="33">
        <v>8434713.2699999996</v>
      </c>
      <c r="J24" s="33">
        <v>22340305</v>
      </c>
      <c r="K24" s="33">
        <v>12762870.76</v>
      </c>
      <c r="L24" s="33">
        <v>16810687.620000001</v>
      </c>
      <c r="M24" s="33">
        <v>6661621.79</v>
      </c>
      <c r="N24" s="33">
        <v>56834530</v>
      </c>
    </row>
    <row r="25" spans="1:14" x14ac:dyDescent="0.25">
      <c r="A25" s="30">
        <v>7</v>
      </c>
      <c r="B25" s="11"/>
      <c r="C25" s="11"/>
      <c r="D25" s="36"/>
      <c r="E25" s="20" t="s">
        <v>130</v>
      </c>
      <c r="F25" s="33">
        <v>0</v>
      </c>
      <c r="G25" s="33">
        <v>0</v>
      </c>
      <c r="H25" s="33">
        <v>400247</v>
      </c>
      <c r="I25" s="33">
        <v>4173815.45</v>
      </c>
      <c r="J25" s="33">
        <v>13528670.970000001</v>
      </c>
      <c r="K25" s="33">
        <v>15259487.17</v>
      </c>
      <c r="L25" s="33">
        <v>12836195.66</v>
      </c>
      <c r="M25" s="33">
        <v>0</v>
      </c>
      <c r="N25" s="33">
        <v>46198416.25</v>
      </c>
    </row>
    <row r="26" spans="1:14" ht="25.5" x14ac:dyDescent="0.25">
      <c r="A26" s="30">
        <v>8</v>
      </c>
      <c r="B26" s="11" t="s">
        <v>140</v>
      </c>
      <c r="C26" s="11" t="s">
        <v>141</v>
      </c>
      <c r="D26" s="36" t="s">
        <v>127</v>
      </c>
      <c r="E26" s="20" t="s">
        <v>128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</row>
    <row r="27" spans="1:14" x14ac:dyDescent="0.25">
      <c r="A27" s="30">
        <v>8</v>
      </c>
      <c r="B27" s="11"/>
      <c r="C27" s="11"/>
      <c r="D27" s="36"/>
      <c r="E27" s="20" t="s">
        <v>129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607500</v>
      </c>
      <c r="L27" s="33">
        <v>2247328.85</v>
      </c>
      <c r="M27" s="33">
        <v>719443.75</v>
      </c>
      <c r="N27" s="33">
        <v>3882200</v>
      </c>
    </row>
    <row r="28" spans="1:14" x14ac:dyDescent="0.25">
      <c r="A28" s="30">
        <v>8</v>
      </c>
      <c r="B28" s="11"/>
      <c r="C28" s="11"/>
      <c r="D28" s="36"/>
      <c r="E28" s="20" t="s">
        <v>130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915427.4</v>
      </c>
      <c r="L28" s="33">
        <v>1583816.33</v>
      </c>
      <c r="M28" s="33">
        <v>0</v>
      </c>
      <c r="N28" s="33">
        <v>2499243.73</v>
      </c>
    </row>
    <row r="29" spans="1:14" ht="25.5" x14ac:dyDescent="0.25">
      <c r="A29" s="30">
        <v>9</v>
      </c>
      <c r="B29" s="11" t="s">
        <v>142</v>
      </c>
      <c r="C29" s="11" t="s">
        <v>126</v>
      </c>
      <c r="D29" s="36" t="s">
        <v>127</v>
      </c>
      <c r="E29" s="20" t="s">
        <v>128</v>
      </c>
      <c r="F29" s="33">
        <v>0</v>
      </c>
      <c r="G29" s="33">
        <v>0</v>
      </c>
      <c r="H29" s="33">
        <v>28350</v>
      </c>
      <c r="I29" s="33">
        <v>105025</v>
      </c>
      <c r="J29" s="33">
        <v>105850</v>
      </c>
      <c r="K29" s="33">
        <v>60775</v>
      </c>
      <c r="L29" s="33">
        <v>0</v>
      </c>
      <c r="M29" s="33">
        <v>0</v>
      </c>
      <c r="N29" s="33">
        <v>300000</v>
      </c>
    </row>
    <row r="30" spans="1:14" x14ac:dyDescent="0.25">
      <c r="A30" s="30">
        <v>9</v>
      </c>
      <c r="B30" s="11"/>
      <c r="C30" s="11"/>
      <c r="D30" s="36"/>
      <c r="E30" s="20" t="s">
        <v>129</v>
      </c>
      <c r="F30" s="33">
        <v>0</v>
      </c>
      <c r="G30" s="33">
        <v>0</v>
      </c>
      <c r="H30" s="33">
        <v>28350</v>
      </c>
      <c r="I30" s="33">
        <v>10000</v>
      </c>
      <c r="J30" s="33">
        <v>63200</v>
      </c>
      <c r="K30" s="33">
        <v>232413.63</v>
      </c>
      <c r="L30" s="33">
        <v>228649.42</v>
      </c>
      <c r="M30" s="33">
        <v>0</v>
      </c>
      <c r="N30" s="33">
        <v>353000</v>
      </c>
    </row>
    <row r="31" spans="1:14" x14ac:dyDescent="0.25">
      <c r="A31" s="30">
        <v>9</v>
      </c>
      <c r="B31" s="11"/>
      <c r="C31" s="11"/>
      <c r="D31" s="36"/>
      <c r="E31" s="20" t="s">
        <v>130</v>
      </c>
      <c r="F31" s="33">
        <v>0</v>
      </c>
      <c r="G31" s="33">
        <v>0</v>
      </c>
      <c r="H31" s="33">
        <v>0</v>
      </c>
      <c r="I31" s="33">
        <v>4578.7299999999996</v>
      </c>
      <c r="J31" s="33">
        <v>29506.28</v>
      </c>
      <c r="K31" s="33">
        <v>90265.57</v>
      </c>
      <c r="L31" s="33">
        <v>55564.52</v>
      </c>
      <c r="M31" s="33">
        <v>0</v>
      </c>
      <c r="N31" s="33">
        <v>179915.1</v>
      </c>
    </row>
    <row r="32" spans="1:14" ht="25.5" x14ac:dyDescent="0.25">
      <c r="A32" s="30">
        <v>10</v>
      </c>
      <c r="B32" s="11" t="s">
        <v>143</v>
      </c>
      <c r="C32" s="11" t="s">
        <v>126</v>
      </c>
      <c r="D32" s="36" t="s">
        <v>127</v>
      </c>
      <c r="E32" s="20" t="s">
        <v>128</v>
      </c>
      <c r="F32" s="33">
        <v>0</v>
      </c>
      <c r="G32" s="33">
        <v>0</v>
      </c>
      <c r="H32" s="33">
        <v>8540</v>
      </c>
      <c r="I32" s="33">
        <v>78226</v>
      </c>
      <c r="J32" s="33">
        <v>44203</v>
      </c>
      <c r="K32" s="33">
        <v>14031</v>
      </c>
      <c r="L32" s="33">
        <v>0</v>
      </c>
      <c r="M32" s="33">
        <v>0</v>
      </c>
      <c r="N32" s="33">
        <v>145000</v>
      </c>
    </row>
    <row r="33" spans="1:14" x14ac:dyDescent="0.25">
      <c r="A33" s="30">
        <v>10</v>
      </c>
      <c r="B33" s="11"/>
      <c r="C33" s="11"/>
      <c r="D33" s="36"/>
      <c r="E33" s="20" t="s">
        <v>129</v>
      </c>
      <c r="F33" s="33">
        <v>0</v>
      </c>
      <c r="G33" s="33">
        <v>0</v>
      </c>
      <c r="H33" s="33">
        <v>8540</v>
      </c>
      <c r="I33" s="33">
        <v>4320</v>
      </c>
      <c r="J33" s="33">
        <v>10000</v>
      </c>
      <c r="K33" s="33">
        <v>46125</v>
      </c>
      <c r="L33" s="33">
        <v>141855</v>
      </c>
      <c r="M33" s="33">
        <v>0</v>
      </c>
      <c r="N33" s="33">
        <v>141855</v>
      </c>
    </row>
    <row r="34" spans="1:14" x14ac:dyDescent="0.25">
      <c r="A34" s="30">
        <v>10</v>
      </c>
      <c r="B34" s="11"/>
      <c r="C34" s="11"/>
      <c r="D34" s="36"/>
      <c r="E34" s="20" t="s">
        <v>130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</row>
    <row r="35" spans="1:14" ht="38.25" x14ac:dyDescent="0.25">
      <c r="A35" s="30">
        <v>11</v>
      </c>
      <c r="B35" s="11" t="s">
        <v>144</v>
      </c>
      <c r="C35" s="11" t="s">
        <v>145</v>
      </c>
      <c r="D35" s="36" t="s">
        <v>127</v>
      </c>
      <c r="E35" s="20" t="s">
        <v>128</v>
      </c>
      <c r="F35" s="33">
        <v>0</v>
      </c>
      <c r="G35" s="33">
        <v>0</v>
      </c>
      <c r="H35" s="33">
        <v>12482</v>
      </c>
      <c r="I35" s="33">
        <v>26790</v>
      </c>
      <c r="J35" s="33">
        <v>33513</v>
      </c>
      <c r="K35" s="33">
        <v>24715</v>
      </c>
      <c r="L35" s="33">
        <v>0</v>
      </c>
      <c r="M35" s="33">
        <v>0</v>
      </c>
      <c r="N35" s="33">
        <v>97500</v>
      </c>
    </row>
    <row r="36" spans="1:14" x14ac:dyDescent="0.25">
      <c r="A36" s="30">
        <v>11</v>
      </c>
      <c r="B36" s="11"/>
      <c r="C36" s="11"/>
      <c r="D36" s="36"/>
      <c r="E36" s="20" t="s">
        <v>129</v>
      </c>
      <c r="F36" s="33">
        <v>0</v>
      </c>
      <c r="G36" s="33">
        <v>0</v>
      </c>
      <c r="H36" s="33">
        <v>12482</v>
      </c>
      <c r="I36" s="33">
        <v>23335.75</v>
      </c>
      <c r="J36" s="33">
        <v>26558</v>
      </c>
      <c r="K36" s="33">
        <v>21428</v>
      </c>
      <c r="L36" s="33">
        <v>22748.16</v>
      </c>
      <c r="M36" s="33">
        <v>0</v>
      </c>
      <c r="N36" s="33">
        <v>97495</v>
      </c>
    </row>
    <row r="37" spans="1:14" x14ac:dyDescent="0.25">
      <c r="A37" s="30">
        <v>11</v>
      </c>
      <c r="B37" s="11"/>
      <c r="C37" s="11"/>
      <c r="D37" s="36"/>
      <c r="E37" s="20" t="s">
        <v>130</v>
      </c>
      <c r="F37" s="33">
        <v>0</v>
      </c>
      <c r="G37" s="33">
        <v>0</v>
      </c>
      <c r="H37" s="33">
        <v>4709.25</v>
      </c>
      <c r="I37" s="33">
        <v>27998</v>
      </c>
      <c r="J37" s="33">
        <v>19254.59</v>
      </c>
      <c r="K37" s="33">
        <v>22785</v>
      </c>
      <c r="L37" s="33">
        <v>6300</v>
      </c>
      <c r="M37" s="33">
        <v>0</v>
      </c>
      <c r="N37" s="33">
        <v>81046.84</v>
      </c>
    </row>
    <row r="38" spans="1:14" ht="25.5" x14ac:dyDescent="0.25">
      <c r="A38" s="30">
        <v>12</v>
      </c>
      <c r="B38" s="11" t="s">
        <v>146</v>
      </c>
      <c r="C38" s="11" t="s">
        <v>126</v>
      </c>
      <c r="D38" s="36" t="s">
        <v>127</v>
      </c>
      <c r="E38" s="20" t="s">
        <v>128</v>
      </c>
      <c r="F38" s="33">
        <v>0</v>
      </c>
      <c r="G38" s="33">
        <v>0</v>
      </c>
      <c r="H38" s="33">
        <v>0</v>
      </c>
      <c r="I38" s="33">
        <v>18696</v>
      </c>
      <c r="J38" s="33">
        <v>38652</v>
      </c>
      <c r="K38" s="33">
        <v>17652</v>
      </c>
      <c r="L38" s="33">
        <v>0</v>
      </c>
      <c r="M38" s="33">
        <v>0</v>
      </c>
      <c r="N38" s="33">
        <v>75000</v>
      </c>
    </row>
    <row r="39" spans="1:14" x14ac:dyDescent="0.25">
      <c r="A39" s="30">
        <v>12</v>
      </c>
      <c r="B39" s="11"/>
      <c r="C39" s="11"/>
      <c r="D39" s="36"/>
      <c r="E39" s="20" t="s">
        <v>129</v>
      </c>
      <c r="F39" s="33">
        <v>0</v>
      </c>
      <c r="G39" s="33">
        <v>0</v>
      </c>
      <c r="H39" s="33">
        <v>0</v>
      </c>
      <c r="I39" s="33">
        <v>13800</v>
      </c>
      <c r="J39" s="33">
        <v>41620</v>
      </c>
      <c r="K39" s="33">
        <v>42501.75</v>
      </c>
      <c r="L39" s="33">
        <v>56653</v>
      </c>
      <c r="M39" s="33">
        <v>0</v>
      </c>
      <c r="N39" s="33">
        <v>101393</v>
      </c>
    </row>
    <row r="40" spans="1:14" x14ac:dyDescent="0.25">
      <c r="A40" s="30">
        <v>12</v>
      </c>
      <c r="B40" s="11"/>
      <c r="C40" s="11"/>
      <c r="D40" s="36"/>
      <c r="E40" s="20" t="s">
        <v>130</v>
      </c>
      <c r="F40" s="33">
        <v>0</v>
      </c>
      <c r="G40" s="33">
        <v>0</v>
      </c>
      <c r="H40" s="33">
        <v>1013</v>
      </c>
      <c r="I40" s="33">
        <v>11372</v>
      </c>
      <c r="J40" s="33">
        <v>14685</v>
      </c>
      <c r="K40" s="33">
        <v>17670</v>
      </c>
      <c r="L40" s="33">
        <v>1440</v>
      </c>
      <c r="M40" s="33">
        <v>0</v>
      </c>
      <c r="N40" s="33">
        <v>46180</v>
      </c>
    </row>
    <row r="41" spans="1:14" ht="25.5" x14ac:dyDescent="0.25">
      <c r="A41" s="30">
        <v>13</v>
      </c>
      <c r="B41" s="11" t="s">
        <v>147</v>
      </c>
      <c r="C41" s="11" t="s">
        <v>126</v>
      </c>
      <c r="D41" s="36" t="s">
        <v>127</v>
      </c>
      <c r="E41" s="20" t="s">
        <v>128</v>
      </c>
      <c r="F41" s="33">
        <v>0</v>
      </c>
      <c r="G41" s="33">
        <v>0</v>
      </c>
      <c r="H41" s="33">
        <v>7500</v>
      </c>
      <c r="I41" s="33">
        <v>68000</v>
      </c>
      <c r="J41" s="33">
        <v>12000</v>
      </c>
      <c r="K41" s="33">
        <v>0</v>
      </c>
      <c r="L41" s="33">
        <v>0</v>
      </c>
      <c r="M41" s="33">
        <v>0</v>
      </c>
      <c r="N41" s="33">
        <v>87500</v>
      </c>
    </row>
    <row r="42" spans="1:14" x14ac:dyDescent="0.25">
      <c r="A42" s="30">
        <v>13</v>
      </c>
      <c r="B42" s="11"/>
      <c r="C42" s="11"/>
      <c r="D42" s="36"/>
      <c r="E42" s="20" t="s">
        <v>129</v>
      </c>
      <c r="F42" s="33">
        <v>0</v>
      </c>
      <c r="G42" s="33">
        <v>0</v>
      </c>
      <c r="H42" s="33">
        <v>7500</v>
      </c>
      <c r="I42" s="33">
        <v>32600</v>
      </c>
      <c r="J42" s="33">
        <v>20950</v>
      </c>
      <c r="K42" s="33">
        <v>96086</v>
      </c>
      <c r="L42" s="33">
        <v>77492.5</v>
      </c>
      <c r="M42" s="33">
        <v>0</v>
      </c>
      <c r="N42" s="33">
        <v>109170</v>
      </c>
    </row>
    <row r="43" spans="1:14" x14ac:dyDescent="0.25">
      <c r="A43" s="30">
        <v>13</v>
      </c>
      <c r="B43" s="11"/>
      <c r="C43" s="11"/>
      <c r="D43" s="36"/>
      <c r="E43" s="20" t="s">
        <v>130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31677.5</v>
      </c>
      <c r="L43" s="33">
        <v>68037.5</v>
      </c>
      <c r="M43" s="33">
        <v>0</v>
      </c>
      <c r="N43" s="33">
        <v>99715</v>
      </c>
    </row>
    <row r="44" spans="1:14" x14ac:dyDescent="0.25">
      <c r="A44" s="30">
        <v>14</v>
      </c>
      <c r="B44" s="11" t="s">
        <v>148</v>
      </c>
      <c r="C44" s="11" t="s">
        <v>136</v>
      </c>
      <c r="D44" s="36" t="s">
        <v>127</v>
      </c>
      <c r="E44" s="20" t="s">
        <v>128</v>
      </c>
      <c r="F44" s="33">
        <v>0</v>
      </c>
      <c r="G44" s="33">
        <v>0</v>
      </c>
      <c r="H44" s="33">
        <v>0</v>
      </c>
      <c r="I44" s="33">
        <v>0</v>
      </c>
      <c r="J44" s="33">
        <v>40000</v>
      </c>
      <c r="K44" s="33">
        <v>160000</v>
      </c>
      <c r="L44" s="33">
        <v>0</v>
      </c>
      <c r="M44" s="33">
        <v>0</v>
      </c>
      <c r="N44" s="33">
        <v>200000</v>
      </c>
    </row>
    <row r="45" spans="1:14" x14ac:dyDescent="0.25">
      <c r="A45" s="30">
        <v>14</v>
      </c>
      <c r="B45" s="11"/>
      <c r="C45" s="11"/>
      <c r="D45" s="36"/>
      <c r="E45" s="20" t="s">
        <v>129</v>
      </c>
      <c r="F45" s="33">
        <v>0</v>
      </c>
      <c r="G45" s="33">
        <v>0</v>
      </c>
      <c r="H45" s="33">
        <v>0</v>
      </c>
      <c r="I45" s="33">
        <v>28200</v>
      </c>
      <c r="J45" s="33">
        <v>30887.5</v>
      </c>
      <c r="K45" s="33">
        <v>12060</v>
      </c>
      <c r="L45" s="33">
        <v>91087</v>
      </c>
      <c r="M45" s="33">
        <v>0</v>
      </c>
      <c r="N45" s="33">
        <v>102087</v>
      </c>
    </row>
    <row r="46" spans="1:14" x14ac:dyDescent="0.25">
      <c r="A46" s="30">
        <v>14</v>
      </c>
      <c r="B46" s="11"/>
      <c r="C46" s="11"/>
      <c r="D46" s="36"/>
      <c r="E46" s="20" t="s">
        <v>130</v>
      </c>
      <c r="F46" s="33">
        <v>0</v>
      </c>
      <c r="G46" s="33">
        <v>0</v>
      </c>
      <c r="H46" s="33">
        <v>0</v>
      </c>
      <c r="I46" s="33">
        <v>5912.5</v>
      </c>
      <c r="J46" s="33">
        <v>1925</v>
      </c>
      <c r="K46" s="33">
        <v>3162.5</v>
      </c>
      <c r="L46" s="33">
        <v>2887.5</v>
      </c>
      <c r="M46" s="33">
        <v>0</v>
      </c>
      <c r="N46" s="33">
        <v>13887.5</v>
      </c>
    </row>
    <row r="47" spans="1:14" x14ac:dyDescent="0.25">
      <c r="A47" s="30">
        <v>15</v>
      </c>
      <c r="B47" s="11" t="s">
        <v>149</v>
      </c>
      <c r="C47" s="11" t="s">
        <v>150</v>
      </c>
      <c r="D47" s="36" t="s">
        <v>93</v>
      </c>
      <c r="E47" s="20" t="s">
        <v>128</v>
      </c>
      <c r="F47" s="33">
        <v>0</v>
      </c>
      <c r="G47" s="33">
        <v>0</v>
      </c>
      <c r="H47" s="33">
        <v>867990</v>
      </c>
      <c r="I47" s="33">
        <v>4802982</v>
      </c>
      <c r="J47" s="33">
        <v>5855235</v>
      </c>
      <c r="K47" s="33">
        <v>11354034</v>
      </c>
      <c r="L47" s="33">
        <v>8714759</v>
      </c>
      <c r="M47" s="33">
        <v>0</v>
      </c>
      <c r="N47" s="33">
        <v>31595000</v>
      </c>
    </row>
    <row r="48" spans="1:14" x14ac:dyDescent="0.25">
      <c r="A48" s="30">
        <v>15</v>
      </c>
      <c r="B48" s="11"/>
      <c r="C48" s="11"/>
      <c r="D48" s="36"/>
      <c r="E48" s="20" t="s">
        <v>129</v>
      </c>
      <c r="F48" s="33">
        <v>0</v>
      </c>
      <c r="G48" s="33">
        <v>0</v>
      </c>
      <c r="H48" s="33">
        <v>867990</v>
      </c>
      <c r="I48" s="33">
        <v>5657555.6900000004</v>
      </c>
      <c r="J48" s="33">
        <v>10800000</v>
      </c>
      <c r="K48" s="33">
        <v>11867703.99</v>
      </c>
      <c r="L48" s="33">
        <v>7250463.6900000004</v>
      </c>
      <c r="M48" s="33">
        <v>3853062.96</v>
      </c>
      <c r="N48" s="33">
        <v>31595000</v>
      </c>
    </row>
    <row r="49" spans="1:14" x14ac:dyDescent="0.25">
      <c r="A49" s="30">
        <v>15</v>
      </c>
      <c r="B49" s="11"/>
      <c r="C49" s="11"/>
      <c r="D49" s="36"/>
      <c r="E49" s="20" t="s">
        <v>130</v>
      </c>
      <c r="F49" s="33">
        <v>0</v>
      </c>
      <c r="G49" s="33">
        <v>0</v>
      </c>
      <c r="H49" s="33">
        <v>203381</v>
      </c>
      <c r="I49" s="33">
        <v>2110278</v>
      </c>
      <c r="J49" s="33">
        <v>7606088.5700000003</v>
      </c>
      <c r="K49" s="33">
        <v>10571725.779999999</v>
      </c>
      <c r="L49" s="33">
        <v>2332350.15</v>
      </c>
      <c r="M49" s="33">
        <v>0</v>
      </c>
      <c r="N49" s="33">
        <v>22823823.5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"/>
  <sheetViews>
    <sheetView zoomScaleNormal="100" workbookViewId="0"/>
  </sheetViews>
  <sheetFormatPr defaultColWidth="8.7109375" defaultRowHeight="15" x14ac:dyDescent="0.25"/>
  <cols>
    <col min="1" max="1" width="9" customWidth="1"/>
    <col min="2" max="2" width="48" customWidth="1"/>
    <col min="3" max="3" width="6" customWidth="1"/>
    <col min="4" max="11" width="8" customWidth="1"/>
    <col min="12" max="14" width="16" customWidth="1"/>
  </cols>
  <sheetData>
    <row r="1" spans="1:14" x14ac:dyDescent="0.25">
      <c r="A1" s="29" t="s">
        <v>152</v>
      </c>
    </row>
    <row r="4" spans="1:14" ht="25.5" x14ac:dyDescent="0.25">
      <c r="A4" s="8" t="s">
        <v>79</v>
      </c>
      <c r="B4" s="8" t="s">
        <v>80</v>
      </c>
      <c r="C4" s="8" t="s">
        <v>123</v>
      </c>
      <c r="D4" s="8">
        <v>2020</v>
      </c>
      <c r="E4" s="8">
        <v>2021</v>
      </c>
      <c r="F4" s="8">
        <v>2022</v>
      </c>
      <c r="G4" s="8">
        <v>2023</v>
      </c>
      <c r="H4" s="8">
        <v>2024</v>
      </c>
      <c r="I4" s="8">
        <v>2025</v>
      </c>
      <c r="J4" s="8">
        <v>2026</v>
      </c>
      <c r="K4" s="8">
        <v>2027</v>
      </c>
      <c r="L4" s="8" t="s">
        <v>153</v>
      </c>
      <c r="M4" s="8" t="s">
        <v>154</v>
      </c>
      <c r="N4" s="8" t="s">
        <v>155</v>
      </c>
    </row>
    <row r="5" spans="1:14" x14ac:dyDescent="0.25">
      <c r="A5" s="30">
        <v>7</v>
      </c>
      <c r="B5" s="11" t="s">
        <v>156</v>
      </c>
      <c r="C5" s="20" t="s">
        <v>128</v>
      </c>
      <c r="D5" s="35">
        <v>0</v>
      </c>
      <c r="E5" s="35">
        <v>0</v>
      </c>
      <c r="F5" s="35">
        <v>4</v>
      </c>
      <c r="G5" s="35">
        <v>7</v>
      </c>
      <c r="H5" s="35">
        <v>10</v>
      </c>
      <c r="I5" s="35">
        <v>14</v>
      </c>
      <c r="J5" s="35">
        <v>0</v>
      </c>
      <c r="K5" s="35">
        <v>0</v>
      </c>
      <c r="L5" s="35">
        <v>35</v>
      </c>
      <c r="M5" s="33">
        <v>4840000</v>
      </c>
      <c r="N5" s="33">
        <v>4840000</v>
      </c>
    </row>
    <row r="6" spans="1:14" x14ac:dyDescent="0.25">
      <c r="A6" s="30">
        <v>7</v>
      </c>
      <c r="B6" s="11"/>
      <c r="C6" s="20" t="s">
        <v>129</v>
      </c>
      <c r="D6" s="35">
        <v>0</v>
      </c>
      <c r="E6" s="35">
        <v>0</v>
      </c>
      <c r="F6" s="35">
        <v>4</v>
      </c>
      <c r="G6" s="35">
        <v>11</v>
      </c>
      <c r="H6" s="35">
        <v>11</v>
      </c>
      <c r="I6" s="35">
        <v>1</v>
      </c>
      <c r="J6" s="35">
        <v>0</v>
      </c>
      <c r="K6" s="35">
        <v>0</v>
      </c>
      <c r="L6" s="35">
        <v>21</v>
      </c>
      <c r="M6" s="36"/>
      <c r="N6" s="36"/>
    </row>
    <row r="7" spans="1:14" x14ac:dyDescent="0.25">
      <c r="A7" s="30">
        <v>7</v>
      </c>
      <c r="B7" s="11"/>
      <c r="C7" s="20" t="s">
        <v>130</v>
      </c>
      <c r="D7" s="35">
        <v>0</v>
      </c>
      <c r="E7" s="35">
        <v>0</v>
      </c>
      <c r="F7" s="35">
        <v>5</v>
      </c>
      <c r="G7" s="35">
        <v>11</v>
      </c>
      <c r="H7" s="35">
        <v>5</v>
      </c>
      <c r="I7" s="35">
        <v>0</v>
      </c>
      <c r="J7" s="35">
        <v>0</v>
      </c>
      <c r="K7" s="35">
        <v>0</v>
      </c>
      <c r="L7" s="30">
        <f>SUM(D7:K7)</f>
        <v>21</v>
      </c>
      <c r="M7" s="36"/>
      <c r="N7" s="36"/>
    </row>
    <row r="8" spans="1:14" ht="25.5" x14ac:dyDescent="0.25">
      <c r="A8" s="30">
        <v>7</v>
      </c>
      <c r="B8" s="11" t="s">
        <v>157</v>
      </c>
      <c r="C8" s="20" t="s">
        <v>128</v>
      </c>
      <c r="D8" s="35">
        <v>0</v>
      </c>
      <c r="E8" s="35">
        <v>0</v>
      </c>
      <c r="F8" s="35">
        <v>0</v>
      </c>
      <c r="G8" s="35">
        <v>4</v>
      </c>
      <c r="H8" s="35">
        <v>7</v>
      </c>
      <c r="I8" s="35">
        <v>10</v>
      </c>
      <c r="J8" s="35">
        <v>14</v>
      </c>
      <c r="K8" s="35">
        <v>0</v>
      </c>
      <c r="L8" s="35">
        <v>35</v>
      </c>
      <c r="M8" s="33">
        <v>51994531</v>
      </c>
      <c r="N8" s="33">
        <v>51994530</v>
      </c>
    </row>
    <row r="9" spans="1:14" x14ac:dyDescent="0.25">
      <c r="A9" s="30">
        <v>7</v>
      </c>
      <c r="B9" s="11"/>
      <c r="C9" s="20" t="s">
        <v>129</v>
      </c>
      <c r="D9" s="35">
        <v>0</v>
      </c>
      <c r="E9" s="35">
        <v>0</v>
      </c>
      <c r="F9" s="35">
        <v>0</v>
      </c>
      <c r="G9" s="35">
        <v>2</v>
      </c>
      <c r="H9" s="35">
        <v>6</v>
      </c>
      <c r="I9" s="35">
        <v>2</v>
      </c>
      <c r="J9" s="35">
        <v>4</v>
      </c>
      <c r="K9" s="35">
        <v>6</v>
      </c>
      <c r="L9" s="35">
        <v>17</v>
      </c>
      <c r="M9" s="36"/>
      <c r="N9" s="36"/>
    </row>
    <row r="10" spans="1:14" x14ac:dyDescent="0.25">
      <c r="A10" s="30">
        <v>7</v>
      </c>
      <c r="B10" s="11"/>
      <c r="C10" s="20" t="s">
        <v>130</v>
      </c>
      <c r="D10" s="35">
        <v>0</v>
      </c>
      <c r="E10" s="35">
        <v>0</v>
      </c>
      <c r="F10" s="35">
        <v>0</v>
      </c>
      <c r="G10" s="35">
        <v>1</v>
      </c>
      <c r="H10" s="35">
        <v>5</v>
      </c>
      <c r="I10" s="35">
        <v>1</v>
      </c>
      <c r="J10" s="35">
        <v>5</v>
      </c>
      <c r="K10" s="35">
        <v>0</v>
      </c>
      <c r="L10" s="30">
        <f>SUM(D10:K10)</f>
        <v>12</v>
      </c>
      <c r="M10" s="36"/>
      <c r="N10" s="36"/>
    </row>
    <row r="11" spans="1:14" x14ac:dyDescent="0.25">
      <c r="A11" s="30">
        <v>15</v>
      </c>
      <c r="B11" s="11" t="s">
        <v>158</v>
      </c>
      <c r="C11" s="20" t="s">
        <v>128</v>
      </c>
      <c r="D11" s="35">
        <v>0</v>
      </c>
      <c r="E11" s="35">
        <v>0</v>
      </c>
      <c r="F11" s="35">
        <v>1</v>
      </c>
      <c r="G11" s="35">
        <v>0</v>
      </c>
      <c r="H11" s="35">
        <v>3</v>
      </c>
      <c r="I11" s="35">
        <v>4</v>
      </c>
      <c r="J11" s="35">
        <v>0</v>
      </c>
      <c r="K11" s="35">
        <v>0</v>
      </c>
      <c r="L11" s="35">
        <v>8</v>
      </c>
      <c r="M11" s="33">
        <v>2300000</v>
      </c>
      <c r="N11" s="33">
        <v>2300000</v>
      </c>
    </row>
    <row r="12" spans="1:14" x14ac:dyDescent="0.25">
      <c r="A12" s="30">
        <v>15</v>
      </c>
      <c r="B12" s="11"/>
      <c r="C12" s="20" t="s">
        <v>129</v>
      </c>
      <c r="D12" s="35">
        <v>0</v>
      </c>
      <c r="E12" s="35">
        <v>0</v>
      </c>
      <c r="F12" s="35">
        <v>1</v>
      </c>
      <c r="G12" s="35">
        <v>4</v>
      </c>
      <c r="H12" s="35">
        <v>2</v>
      </c>
      <c r="I12" s="35">
        <v>2</v>
      </c>
      <c r="J12" s="35">
        <v>0</v>
      </c>
      <c r="K12" s="35">
        <v>0</v>
      </c>
      <c r="L12" s="35">
        <v>8</v>
      </c>
      <c r="M12" s="36"/>
      <c r="N12" s="36"/>
    </row>
    <row r="13" spans="1:14" x14ac:dyDescent="0.25">
      <c r="A13" s="30">
        <v>15</v>
      </c>
      <c r="B13" s="11"/>
      <c r="C13" s="20" t="s">
        <v>130</v>
      </c>
      <c r="D13" s="35">
        <v>0</v>
      </c>
      <c r="E13" s="35">
        <v>0</v>
      </c>
      <c r="F13" s="35">
        <v>2</v>
      </c>
      <c r="G13" s="35">
        <v>4</v>
      </c>
      <c r="H13" s="35">
        <v>0</v>
      </c>
      <c r="I13" s="35">
        <v>2</v>
      </c>
      <c r="J13" s="35">
        <v>0</v>
      </c>
      <c r="K13" s="35">
        <v>0</v>
      </c>
      <c r="L13" s="30">
        <f>SUM(D13:K13)</f>
        <v>8</v>
      </c>
      <c r="M13" s="36"/>
      <c r="N13" s="36"/>
    </row>
    <row r="14" spans="1:14" x14ac:dyDescent="0.25">
      <c r="A14" s="30">
        <v>15</v>
      </c>
      <c r="B14" s="11" t="s">
        <v>159</v>
      </c>
      <c r="C14" s="20" t="s">
        <v>128</v>
      </c>
      <c r="D14" s="35">
        <v>0</v>
      </c>
      <c r="E14" s="35">
        <v>0</v>
      </c>
      <c r="F14" s="35">
        <v>0</v>
      </c>
      <c r="G14" s="35">
        <v>0</v>
      </c>
      <c r="H14" s="35">
        <v>1</v>
      </c>
      <c r="I14" s="35">
        <v>3</v>
      </c>
      <c r="J14" s="35">
        <v>4</v>
      </c>
      <c r="K14" s="35">
        <v>0</v>
      </c>
      <c r="L14" s="35">
        <v>8</v>
      </c>
      <c r="M14" s="33">
        <v>28565000</v>
      </c>
      <c r="N14" s="33">
        <v>28565000</v>
      </c>
    </row>
    <row r="15" spans="1:14" x14ac:dyDescent="0.25">
      <c r="A15" s="30">
        <v>15</v>
      </c>
      <c r="B15" s="11"/>
      <c r="C15" s="20" t="s">
        <v>129</v>
      </c>
      <c r="D15" s="35">
        <v>0</v>
      </c>
      <c r="E15" s="35">
        <v>0</v>
      </c>
      <c r="F15" s="35">
        <v>0</v>
      </c>
      <c r="G15" s="35">
        <v>0</v>
      </c>
      <c r="H15" s="35">
        <v>3</v>
      </c>
      <c r="I15" s="35">
        <v>2</v>
      </c>
      <c r="J15" s="35">
        <v>1</v>
      </c>
      <c r="K15" s="35">
        <v>4</v>
      </c>
      <c r="L15" s="35">
        <v>8</v>
      </c>
      <c r="M15" s="36"/>
      <c r="N15" s="36"/>
    </row>
    <row r="16" spans="1:14" x14ac:dyDescent="0.25">
      <c r="A16" s="30">
        <v>15</v>
      </c>
      <c r="B16" s="11"/>
      <c r="C16" s="20" t="s">
        <v>130</v>
      </c>
      <c r="D16" s="35">
        <v>0</v>
      </c>
      <c r="E16" s="35">
        <v>0</v>
      </c>
      <c r="F16" s="35">
        <v>0</v>
      </c>
      <c r="G16" s="35">
        <v>0</v>
      </c>
      <c r="H16" s="35">
        <v>1</v>
      </c>
      <c r="I16" s="35">
        <v>2</v>
      </c>
      <c r="J16" s="35">
        <v>1</v>
      </c>
      <c r="K16" s="35">
        <v>0</v>
      </c>
      <c r="L16" s="30">
        <f>SUM(D16:K16)</f>
        <v>4</v>
      </c>
      <c r="M16" s="36"/>
      <c r="N16" s="36"/>
    </row>
    <row r="17" spans="1:14" ht="25.5" x14ac:dyDescent="0.25">
      <c r="A17" s="30">
        <v>15</v>
      </c>
      <c r="B17" s="11" t="s">
        <v>160</v>
      </c>
      <c r="C17" s="20" t="s">
        <v>128</v>
      </c>
      <c r="D17" s="35">
        <v>0</v>
      </c>
      <c r="E17" s="35">
        <v>0</v>
      </c>
      <c r="F17" s="35">
        <v>0</v>
      </c>
      <c r="G17" s="35">
        <v>2</v>
      </c>
      <c r="H17" s="35">
        <v>0</v>
      </c>
      <c r="I17" s="35">
        <v>0</v>
      </c>
      <c r="J17" s="35">
        <v>0</v>
      </c>
      <c r="K17" s="35">
        <v>0</v>
      </c>
      <c r="L17" s="35">
        <v>2</v>
      </c>
      <c r="M17" s="33">
        <v>730000</v>
      </c>
      <c r="N17" s="33">
        <v>730000</v>
      </c>
    </row>
    <row r="18" spans="1:14" x14ac:dyDescent="0.25">
      <c r="A18" s="30">
        <v>15</v>
      </c>
      <c r="B18" s="11"/>
      <c r="C18" s="20" t="s">
        <v>129</v>
      </c>
      <c r="D18" s="35">
        <v>0</v>
      </c>
      <c r="E18" s="35">
        <v>0</v>
      </c>
      <c r="F18" s="35">
        <v>0</v>
      </c>
      <c r="G18" s="35">
        <v>2</v>
      </c>
      <c r="H18" s="35">
        <v>1</v>
      </c>
      <c r="I18" s="35">
        <v>0</v>
      </c>
      <c r="J18" s="35">
        <v>0</v>
      </c>
      <c r="K18" s="35">
        <v>0</v>
      </c>
      <c r="L18" s="35">
        <v>2</v>
      </c>
      <c r="M18" s="36"/>
      <c r="N18" s="36"/>
    </row>
    <row r="19" spans="1:14" x14ac:dyDescent="0.25">
      <c r="A19" s="30">
        <v>15</v>
      </c>
      <c r="B19" s="11"/>
      <c r="C19" s="20" t="s">
        <v>130</v>
      </c>
      <c r="D19" s="35">
        <v>0</v>
      </c>
      <c r="E19" s="35">
        <v>0</v>
      </c>
      <c r="F19" s="35">
        <v>0</v>
      </c>
      <c r="G19" s="35">
        <v>1</v>
      </c>
      <c r="H19" s="35">
        <v>1</v>
      </c>
      <c r="I19" s="35">
        <v>0</v>
      </c>
      <c r="J19" s="35">
        <v>0</v>
      </c>
      <c r="K19" s="35">
        <v>0</v>
      </c>
      <c r="L19" s="30">
        <f>SUM(D19:K19)</f>
        <v>2</v>
      </c>
      <c r="M19" s="36"/>
      <c r="N19" s="36"/>
    </row>
    <row r="22" spans="1:14" x14ac:dyDescent="0.25">
      <c r="B22" s="7" t="s">
        <v>161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5"/>
  <sheetViews>
    <sheetView zoomScaleNormal="100" workbookViewId="0"/>
  </sheetViews>
  <sheetFormatPr defaultColWidth="8.7109375" defaultRowHeight="15" x14ac:dyDescent="0.25"/>
  <cols>
    <col min="1" max="1" width="7" customWidth="1"/>
    <col min="2" max="2" width="55" customWidth="1"/>
    <col min="3" max="3" width="10" customWidth="1"/>
    <col min="4" max="13" width="15" customWidth="1"/>
  </cols>
  <sheetData>
    <row r="1" spans="1:13" x14ac:dyDescent="0.25">
      <c r="A1" s="29" t="s">
        <v>162</v>
      </c>
    </row>
    <row r="3" spans="1:13" x14ac:dyDescent="0.25">
      <c r="A3" s="29" t="s">
        <v>163</v>
      </c>
      <c r="C3" s="43" t="str">
        <f>Escenarios!C5</f>
        <v>Base PMR jun-2026</v>
      </c>
    </row>
    <row r="4" spans="1:13" x14ac:dyDescent="0.25">
      <c r="A4" s="8" t="s">
        <v>74</v>
      </c>
      <c r="B4" s="8" t="s">
        <v>75</v>
      </c>
      <c r="C4" s="8" t="s">
        <v>164</v>
      </c>
      <c r="D4" s="8" t="s">
        <v>165</v>
      </c>
      <c r="E4" s="8" t="s">
        <v>166</v>
      </c>
      <c r="F4" s="8" t="s">
        <v>167</v>
      </c>
      <c r="G4" s="8" t="s">
        <v>168</v>
      </c>
      <c r="H4" s="8" t="s">
        <v>169</v>
      </c>
      <c r="I4" s="8" t="s">
        <v>170</v>
      </c>
      <c r="J4" s="8" t="s">
        <v>171</v>
      </c>
      <c r="K4" s="8" t="s">
        <v>172</v>
      </c>
      <c r="L4" s="8" t="s">
        <v>173</v>
      </c>
      <c r="M4" s="8" t="s">
        <v>174</v>
      </c>
    </row>
    <row r="5" spans="1:13" x14ac:dyDescent="0.25">
      <c r="A5" s="30">
        <v>1</v>
      </c>
      <c r="B5" s="44" t="str">
        <f>Fisico!B5</f>
        <v>P1.1. Plataformas de datos policiales integradas e interoperables</v>
      </c>
      <c r="C5" s="44" t="str">
        <f>Fisico!D5</f>
        <v>No</v>
      </c>
      <c r="D5" s="45">
        <f>SUMPRODUCT((Financiero!$F$4:$M$4&lt;=Parametros!$C$6)*Financiero!$F$5:$M$5)</f>
        <v>758011</v>
      </c>
      <c r="E5" s="45">
        <f>SUMPRODUCT((Financiero!$F$4:$M$4&lt;Parametros!$C$6)*Financiero!$F$7:$M$7)+SUMPRODUCT((Financiero!$F$4:$M$4=Parametros!$C$6)*Financiero!$F$6:$M$6)</f>
        <v>224656.16</v>
      </c>
      <c r="F5" s="45">
        <f>SUMPRODUCT((Financiero!$F$4:$M$4&lt;=Parametros!$C$6)*Financiero!$F$7:$M$7)+0</f>
        <v>224656.16</v>
      </c>
      <c r="G5" s="46">
        <f>SUMPRODUCT((Fisico!$F$4:$M$4&lt;=Parametros!$C$6)*Fisico!$F$5:$M$5)</f>
        <v>1</v>
      </c>
      <c r="H5" s="46">
        <f>SUMPRODUCT((Fisico!$F$4:$M$4&lt;Parametros!$C$6)*Fisico!$F$7:$M$7)+SUMPRODUCT((Fisico!$F$4:$M$4=Parametros!$C$6)*Fisico!$F$6:$M$6)</f>
        <v>0</v>
      </c>
      <c r="I5" s="46">
        <f>SUMPRODUCT((Fisico!$F$4:$M$4&lt;=Parametros!$C$6)*Fisico!$F$7:$M$7)+0</f>
        <v>0</v>
      </c>
      <c r="J5" s="47">
        <f t="shared" ref="J5:J19" si="0">IF(G5=0,"N/A",I5/G5)</f>
        <v>0</v>
      </c>
      <c r="K5" s="47" t="str">
        <f t="shared" ref="K5:K19" si="1">IF(H5=0,"N/A",I5/H5)</f>
        <v>N/A</v>
      </c>
      <c r="L5" s="45">
        <f t="shared" ref="L5:L19" si="2">IF(C5="Sí",SUMIF($A$25:$A$29,A5,$H$25:$H$29),IF(J5="N/A",F5,J5*D5))</f>
        <v>0</v>
      </c>
      <c r="M5" s="45">
        <f t="shared" ref="M5:M19" si="3">IF(C5="Sí",SUMIF($A$25:$A$29,A5,$I$25:$I$29),IF(K5="N/A",F5,K5*E5))</f>
        <v>224656.16</v>
      </c>
    </row>
    <row r="6" spans="1:13" x14ac:dyDescent="0.25">
      <c r="A6" s="30">
        <v>2</v>
      </c>
      <c r="B6" s="44" t="str">
        <f>Fisico!B8</f>
        <v>P1.2. Sistema de información delictual fortalecidos y en funcionamiento</v>
      </c>
      <c r="C6" s="44" t="str">
        <f>Fisico!D8</f>
        <v>No</v>
      </c>
      <c r="D6" s="45">
        <f>SUMPRODUCT((Financiero!$F$4:$M$4&lt;=Parametros!$C$6)*Financiero!$F$8:$M$8)</f>
        <v>3104457</v>
      </c>
      <c r="E6" s="45">
        <f>SUMPRODUCT((Financiero!$F$4:$M$4&lt;Parametros!$C$6)*Financiero!$F$10:$M$10)+SUMPRODUCT((Financiero!$F$4:$M$4=Parametros!$C$6)*Financiero!$F$9:$M$9)</f>
        <v>23360</v>
      </c>
      <c r="F6" s="45">
        <f>SUMPRODUCT((Financiero!$F$4:$M$4&lt;=Parametros!$C$6)*Financiero!$F$10:$M$10)+0</f>
        <v>23360</v>
      </c>
      <c r="G6" s="46">
        <f>SUMPRODUCT((Fisico!$F$4:$M$4&lt;=Parametros!$C$6)*Fisico!$F$8:$M$8)</f>
        <v>1</v>
      </c>
      <c r="H6" s="46">
        <f>SUMPRODUCT((Fisico!$F$4:$M$4&lt;Parametros!$C$6)*Fisico!$F$10:$M$10)+SUMPRODUCT((Fisico!$F$4:$M$4=Parametros!$C$6)*Fisico!$F$9:$M$9)</f>
        <v>0</v>
      </c>
      <c r="I6" s="46">
        <f>SUMPRODUCT((Fisico!$F$4:$M$4&lt;=Parametros!$C$6)*Fisico!$F$10:$M$10)+0</f>
        <v>0</v>
      </c>
      <c r="J6" s="47">
        <f t="shared" si="0"/>
        <v>0</v>
      </c>
      <c r="K6" s="47" t="str">
        <f t="shared" si="1"/>
        <v>N/A</v>
      </c>
      <c r="L6" s="45">
        <f t="shared" si="2"/>
        <v>0</v>
      </c>
      <c r="M6" s="45">
        <f t="shared" si="3"/>
        <v>23360</v>
      </c>
    </row>
    <row r="7" spans="1:13" x14ac:dyDescent="0.25">
      <c r="A7" s="30">
        <v>3</v>
      </c>
      <c r="B7" s="44" t="str">
        <f>Fisico!B11</f>
        <v>P.1.3. Departamentos de la FP capacitados en análisis criminal y monitoreo de dinámicas delictivas</v>
      </c>
      <c r="C7" s="44" t="str">
        <f>Fisico!D11</f>
        <v>No</v>
      </c>
      <c r="D7" s="45">
        <f>SUMPRODUCT((Financiero!$F$4:$M$4&lt;=Parametros!$C$6)*Financiero!$F$11:$M$11)</f>
        <v>300000</v>
      </c>
      <c r="E7" s="45">
        <f>SUMPRODUCT((Financiero!$F$4:$M$4&lt;Parametros!$C$6)*Financiero!$F$13:$M$13)+SUMPRODUCT((Financiero!$F$4:$M$4=Parametros!$C$6)*Financiero!$F$12:$M$12)</f>
        <v>140489.60000000001</v>
      </c>
      <c r="F7" s="45">
        <f>SUMPRODUCT((Financiero!$F$4:$M$4&lt;=Parametros!$C$6)*Financiero!$F$13:$M$13)+0</f>
        <v>140489.60000000001</v>
      </c>
      <c r="G7" s="46">
        <f>SUMPRODUCT((Fisico!$F$4:$M$4&lt;=Parametros!$C$6)*Fisico!$F$11:$M$11)</f>
        <v>16</v>
      </c>
      <c r="H7" s="46">
        <f>SUMPRODUCT((Fisico!$F$4:$M$4&lt;Parametros!$C$6)*Fisico!$F$13:$M$13)+SUMPRODUCT((Fisico!$F$4:$M$4=Parametros!$C$6)*Fisico!$F$12:$M$12)</f>
        <v>29</v>
      </c>
      <c r="I7" s="46">
        <f>SUMPRODUCT((Fisico!$F$4:$M$4&lt;=Parametros!$C$6)*Fisico!$F$13:$M$13)+0</f>
        <v>29</v>
      </c>
      <c r="J7" s="47">
        <f t="shared" si="0"/>
        <v>1.8125</v>
      </c>
      <c r="K7" s="47">
        <f t="shared" si="1"/>
        <v>1</v>
      </c>
      <c r="L7" s="45">
        <f t="shared" si="2"/>
        <v>543750</v>
      </c>
      <c r="M7" s="45">
        <f t="shared" si="3"/>
        <v>140489.60000000001</v>
      </c>
    </row>
    <row r="8" spans="1:13" x14ac:dyDescent="0.25">
      <c r="A8" s="30">
        <v>4</v>
      </c>
      <c r="B8" s="44" t="str">
        <f>Fisico!B14</f>
        <v>P.1.4. Estrategias policiales basadas en evidencia diseñadas e implementadas</v>
      </c>
      <c r="C8" s="44" t="str">
        <f>Fisico!D14</f>
        <v>No</v>
      </c>
      <c r="D8" s="45">
        <f>SUMPRODUCT((Financiero!$F$4:$M$4&lt;=Parametros!$C$6)*Financiero!$F$14:$M$14)</f>
        <v>1603001</v>
      </c>
      <c r="E8" s="45">
        <f>SUMPRODUCT((Financiero!$F$4:$M$4&lt;Parametros!$C$6)*Financiero!$F$16:$M$16)+SUMPRODUCT((Financiero!$F$4:$M$4=Parametros!$C$6)*Financiero!$F$15:$M$15)</f>
        <v>1399764.2400000002</v>
      </c>
      <c r="F8" s="45">
        <f>SUMPRODUCT((Financiero!$F$4:$M$4&lt;=Parametros!$C$6)*Financiero!$F$16:$M$16)+0</f>
        <v>835473.63000000012</v>
      </c>
      <c r="G8" s="46">
        <f>SUMPRODUCT((Fisico!$F$4:$M$4&lt;=Parametros!$C$6)*Fisico!$F$14:$M$14)</f>
        <v>1</v>
      </c>
      <c r="H8" s="46">
        <f>SUMPRODUCT((Fisico!$F$4:$M$4&lt;Parametros!$C$6)*Fisico!$F$16:$M$16)+SUMPRODUCT((Fisico!$F$4:$M$4=Parametros!$C$6)*Fisico!$F$15:$M$15)</f>
        <v>1</v>
      </c>
      <c r="I8" s="46">
        <f>SUMPRODUCT((Fisico!$F$4:$M$4&lt;=Parametros!$C$6)*Fisico!$F$16:$M$16)+0</f>
        <v>0</v>
      </c>
      <c r="J8" s="47">
        <f t="shared" si="0"/>
        <v>0</v>
      </c>
      <c r="K8" s="47">
        <f t="shared" si="1"/>
        <v>0</v>
      </c>
      <c r="L8" s="45">
        <f t="shared" si="2"/>
        <v>0</v>
      </c>
      <c r="M8" s="45">
        <f t="shared" si="3"/>
        <v>0</v>
      </c>
    </row>
    <row r="9" spans="1:13" x14ac:dyDescent="0.25">
      <c r="A9" s="30">
        <v>5</v>
      </c>
      <c r="B9" s="44" t="str">
        <f>Fisico!B17</f>
        <v>P.1.5. Evaluación de impacto de estrategias policiales basadas en evidencia diseñada e implementada</v>
      </c>
      <c r="C9" s="44" t="str">
        <f>Fisico!D17</f>
        <v>No</v>
      </c>
      <c r="D9" s="45">
        <f>SUMPRODUCT((Financiero!$F$4:$M$4&lt;=Parametros!$C$6)*Financiero!$F$17:$M$17)</f>
        <v>150000</v>
      </c>
      <c r="E9" s="45">
        <f>SUMPRODUCT((Financiero!$F$4:$M$4&lt;Parametros!$C$6)*Financiero!$F$19:$M$19)+SUMPRODUCT((Financiero!$F$4:$M$4=Parametros!$C$6)*Financiero!$F$18:$M$18)</f>
        <v>130000</v>
      </c>
      <c r="F9" s="45">
        <f>SUMPRODUCT((Financiero!$F$4:$M$4&lt;=Parametros!$C$6)*Financiero!$F$19:$M$19)+0</f>
        <v>97637.5</v>
      </c>
      <c r="G9" s="46">
        <f>SUMPRODUCT((Fisico!$F$4:$M$4&lt;=Parametros!$C$6)*Fisico!$F$17:$M$17)</f>
        <v>1</v>
      </c>
      <c r="H9" s="46">
        <f>SUMPRODUCT((Fisico!$F$4:$M$4&lt;Parametros!$C$6)*Fisico!$F$19:$M$19)+SUMPRODUCT((Fisico!$F$4:$M$4=Parametros!$C$6)*Fisico!$F$18:$M$18)</f>
        <v>1</v>
      </c>
      <c r="I9" s="46">
        <f>SUMPRODUCT((Fisico!$F$4:$M$4&lt;=Parametros!$C$6)*Fisico!$F$19:$M$19)+0</f>
        <v>0</v>
      </c>
      <c r="J9" s="47">
        <f t="shared" si="0"/>
        <v>0</v>
      </c>
      <c r="K9" s="47">
        <f t="shared" si="1"/>
        <v>0</v>
      </c>
      <c r="L9" s="45">
        <f t="shared" si="2"/>
        <v>0</v>
      </c>
      <c r="M9" s="45">
        <f t="shared" si="3"/>
        <v>0</v>
      </c>
    </row>
    <row r="10" spans="1:13" x14ac:dyDescent="0.25">
      <c r="A10" s="30">
        <v>6</v>
      </c>
      <c r="B10" s="44" t="str">
        <f>Fisico!B20</f>
        <v>P.1.6. Sistema de procesamiento de quejas ciudadanas y procesos disciplinarios, fortalecido</v>
      </c>
      <c r="C10" s="44" t="str">
        <f>Fisico!D20</f>
        <v>No</v>
      </c>
      <c r="D10" s="45">
        <f>SUMPRODUCT((Financiero!$F$4:$M$4&lt;=Parametros!$C$6)*Financiero!$F$20:$M$20)</f>
        <v>250000</v>
      </c>
      <c r="E10" s="45">
        <f>SUMPRODUCT((Financiero!$F$4:$M$4&lt;Parametros!$C$6)*Financiero!$F$22:$M$22)+SUMPRODUCT((Financiero!$F$4:$M$4=Parametros!$C$6)*Financiero!$F$21:$M$21)</f>
        <v>365000</v>
      </c>
      <c r="F10" s="45">
        <f>SUMPRODUCT((Financiero!$F$4:$M$4&lt;=Parametros!$C$6)*Financiero!$F$22:$M$22)+0</f>
        <v>277246.95</v>
      </c>
      <c r="G10" s="46">
        <f>SUMPRODUCT((Fisico!$F$4:$M$4&lt;=Parametros!$C$6)*Fisico!$F$20:$M$20)</f>
        <v>1</v>
      </c>
      <c r="H10" s="46">
        <f>SUMPRODUCT((Fisico!$F$4:$M$4&lt;Parametros!$C$6)*Fisico!$F$22:$M$22)+SUMPRODUCT((Fisico!$F$4:$M$4=Parametros!$C$6)*Fisico!$F$21:$M$21)</f>
        <v>1</v>
      </c>
      <c r="I10" s="46">
        <f>SUMPRODUCT((Fisico!$F$4:$M$4&lt;=Parametros!$C$6)*Fisico!$F$22:$M$22)+0</f>
        <v>0</v>
      </c>
      <c r="J10" s="47">
        <f t="shared" si="0"/>
        <v>0</v>
      </c>
      <c r="K10" s="47">
        <f t="shared" si="1"/>
        <v>0</v>
      </c>
      <c r="L10" s="45">
        <f t="shared" si="2"/>
        <v>0</v>
      </c>
      <c r="M10" s="45">
        <f t="shared" si="3"/>
        <v>0</v>
      </c>
    </row>
    <row r="11" spans="1:13" x14ac:dyDescent="0.25">
      <c r="A11" s="30">
        <v>7</v>
      </c>
      <c r="B11" s="44" t="str">
        <f>Fisico!B23</f>
        <v>P.1.7. Delegaciones diseñadas, construida, equipadas y operando bajo el enfoque de policía comunitaria</v>
      </c>
      <c r="C11" s="44" t="str">
        <f>Fisico!D23</f>
        <v>Sí</v>
      </c>
      <c r="D11" s="45">
        <f>SUMPRODUCT((Financiero!$F$4:$M$4&lt;=Parametros!$C$6)*Financiero!$F$23:$M$23)</f>
        <v>56834531</v>
      </c>
      <c r="E11" s="45">
        <f>SUMPRODUCT((Financiero!$F$4:$M$4&lt;Parametros!$C$6)*Financiero!$F$25:$M$25)+SUMPRODUCT((Financiero!$F$4:$M$4=Parametros!$C$6)*Financiero!$F$24:$M$24)</f>
        <v>50172908.210000008</v>
      </c>
      <c r="F11" s="45">
        <f>SUMPRODUCT((Financiero!$F$4:$M$4&lt;=Parametros!$C$6)*Financiero!$F$25:$M$25)+0</f>
        <v>46198416.25</v>
      </c>
      <c r="G11" s="46">
        <f>SUMPRODUCT((Fisico!$F$4:$M$4&lt;=Parametros!$C$6)*Fisico!$F$23:$M$23)</f>
        <v>35</v>
      </c>
      <c r="H11" s="46">
        <f>SUMPRODUCT((Fisico!$F$4:$M$4&lt;Parametros!$C$6)*Fisico!$F$25:$M$25)+SUMPRODUCT((Fisico!$F$4:$M$4=Parametros!$C$6)*Fisico!$F$24:$M$24)</f>
        <v>11</v>
      </c>
      <c r="I11" s="46">
        <f>SUMPRODUCT((Fisico!$F$4:$M$4&lt;=Parametros!$C$6)*Fisico!$F$25:$M$25)+0</f>
        <v>15</v>
      </c>
      <c r="J11" s="47">
        <f t="shared" si="0"/>
        <v>0.42857142857142855</v>
      </c>
      <c r="K11" s="47">
        <f t="shared" si="1"/>
        <v>1.3636363636363635</v>
      </c>
      <c r="L11" s="45">
        <f t="shared" si="2"/>
        <v>20730696.342857145</v>
      </c>
      <c r="M11" s="45">
        <f t="shared" si="3"/>
        <v>41542021.176470593</v>
      </c>
    </row>
    <row r="12" spans="1:13" x14ac:dyDescent="0.25">
      <c r="A12" s="30">
        <v>8</v>
      </c>
      <c r="B12" s="44" t="str">
        <f>Fisico!B26</f>
        <v>Centro de Mando y Control Policial (CMCP) diseñado, construido, equipado y en funcionamiento</v>
      </c>
      <c r="C12" s="44" t="str">
        <f>Fisico!D26</f>
        <v>No</v>
      </c>
      <c r="D12" s="45">
        <f>SUMPRODUCT((Financiero!$F$4:$M$4&lt;=Parametros!$C$6)*Financiero!$F$26:$M$26)</f>
        <v>0</v>
      </c>
      <c r="E12" s="45">
        <f>SUMPRODUCT((Financiero!$F$4:$M$4&lt;Parametros!$C$6)*Financiero!$F$28:$M$28)+SUMPRODUCT((Financiero!$F$4:$M$4=Parametros!$C$6)*Financiero!$F$27:$M$27)</f>
        <v>3162756.25</v>
      </c>
      <c r="F12" s="45">
        <f>SUMPRODUCT((Financiero!$F$4:$M$4&lt;=Parametros!$C$6)*Financiero!$F$28:$M$28)+0</f>
        <v>2499243.73</v>
      </c>
      <c r="G12" s="46">
        <f>SUMPRODUCT((Fisico!$F$4:$M$4&lt;=Parametros!$C$6)*Fisico!$F$26:$M$26)</f>
        <v>0</v>
      </c>
      <c r="H12" s="46">
        <f>SUMPRODUCT((Fisico!$F$4:$M$4&lt;Parametros!$C$6)*Fisico!$F$28:$M$28)+SUMPRODUCT((Fisico!$F$4:$M$4=Parametros!$C$6)*Fisico!$F$27:$M$27)</f>
        <v>0</v>
      </c>
      <c r="I12" s="46">
        <f>SUMPRODUCT((Fisico!$F$4:$M$4&lt;=Parametros!$C$6)*Fisico!$F$28:$M$28)+0</f>
        <v>0</v>
      </c>
      <c r="J12" s="47" t="str">
        <f t="shared" si="0"/>
        <v>N/A</v>
      </c>
      <c r="K12" s="47" t="str">
        <f t="shared" si="1"/>
        <v>N/A</v>
      </c>
      <c r="L12" s="45">
        <f t="shared" si="2"/>
        <v>2499243.73</v>
      </c>
      <c r="M12" s="45">
        <f t="shared" si="3"/>
        <v>2499243.73</v>
      </c>
    </row>
    <row r="13" spans="1:13" x14ac:dyDescent="0.25">
      <c r="A13" s="30">
        <v>9</v>
      </c>
      <c r="B13" s="44" t="str">
        <f>Fisico!B29</f>
        <v>P.2.1. Modelo de atención de los CCP actualizado, fortalecido, y en funcionamiento en los CCPs de la red</v>
      </c>
      <c r="C13" s="44" t="str">
        <f>Fisico!D29</f>
        <v>No</v>
      </c>
      <c r="D13" s="45">
        <f>SUMPRODUCT((Financiero!$F$4:$M$4&lt;=Parametros!$C$6)*Financiero!$F$29:$M$29)</f>
        <v>300000</v>
      </c>
      <c r="E13" s="45">
        <f>SUMPRODUCT((Financiero!$F$4:$M$4&lt;Parametros!$C$6)*Financiero!$F$31:$M$31)+SUMPRODUCT((Financiero!$F$4:$M$4=Parametros!$C$6)*Financiero!$F$30:$M$30)</f>
        <v>353000</v>
      </c>
      <c r="F13" s="45">
        <f>SUMPRODUCT((Financiero!$F$4:$M$4&lt;=Parametros!$C$6)*Financiero!$F$31:$M$31)+0</f>
        <v>179915.1</v>
      </c>
      <c r="G13" s="46">
        <f>SUMPRODUCT((Fisico!$F$4:$M$4&lt;=Parametros!$C$6)*Fisico!$F$29:$M$29)</f>
        <v>1</v>
      </c>
      <c r="H13" s="46">
        <f>SUMPRODUCT((Fisico!$F$4:$M$4&lt;Parametros!$C$6)*Fisico!$F$31:$M$31)+SUMPRODUCT((Fisico!$F$4:$M$4=Parametros!$C$6)*Fisico!$F$30:$M$30)</f>
        <v>1</v>
      </c>
      <c r="I13" s="46">
        <f>SUMPRODUCT((Fisico!$F$4:$M$4&lt;=Parametros!$C$6)*Fisico!$F$31:$M$31)+0</f>
        <v>0</v>
      </c>
      <c r="J13" s="47">
        <f t="shared" si="0"/>
        <v>0</v>
      </c>
      <c r="K13" s="47">
        <f t="shared" si="1"/>
        <v>0</v>
      </c>
      <c r="L13" s="45">
        <f t="shared" si="2"/>
        <v>0</v>
      </c>
      <c r="M13" s="45">
        <f t="shared" si="3"/>
        <v>0</v>
      </c>
    </row>
    <row r="14" spans="1:13" x14ac:dyDescent="0.25">
      <c r="A14" s="30">
        <v>10</v>
      </c>
      <c r="B14" s="44" t="str">
        <f>Fisico!B32</f>
        <v>P.2.2. Modelo de gestión de los CCP homologado, fortalecido y en funcionamiento en los CCPs de la red</v>
      </c>
      <c r="C14" s="44" t="str">
        <f>Fisico!D32</f>
        <v>No</v>
      </c>
      <c r="D14" s="45">
        <f>SUMPRODUCT((Financiero!$F$4:$M$4&lt;=Parametros!$C$6)*Financiero!$F$32:$M$32)</f>
        <v>145000</v>
      </c>
      <c r="E14" s="45">
        <f>SUMPRODUCT((Financiero!$F$4:$M$4&lt;Parametros!$C$6)*Financiero!$F$34:$M$34)+SUMPRODUCT((Financiero!$F$4:$M$4=Parametros!$C$6)*Financiero!$F$33:$M$33)</f>
        <v>141855</v>
      </c>
      <c r="F14" s="45">
        <f>SUMPRODUCT((Financiero!$F$4:$M$4&lt;=Parametros!$C$6)*Financiero!$F$34:$M$34)+0</f>
        <v>0</v>
      </c>
      <c r="G14" s="46">
        <f>SUMPRODUCT((Fisico!$F$4:$M$4&lt;=Parametros!$C$6)*Fisico!$F$32:$M$32)</f>
        <v>1</v>
      </c>
      <c r="H14" s="46">
        <f>SUMPRODUCT((Fisico!$F$4:$M$4&lt;Parametros!$C$6)*Fisico!$F$34:$M$34)+SUMPRODUCT((Fisico!$F$4:$M$4=Parametros!$C$6)*Fisico!$F$33:$M$33)</f>
        <v>1</v>
      </c>
      <c r="I14" s="46">
        <f>SUMPRODUCT((Fisico!$F$4:$M$4&lt;=Parametros!$C$6)*Fisico!$F$34:$M$34)+0</f>
        <v>0</v>
      </c>
      <c r="J14" s="47">
        <f t="shared" si="0"/>
        <v>0</v>
      </c>
      <c r="K14" s="47">
        <f t="shared" si="1"/>
        <v>0</v>
      </c>
      <c r="L14" s="45">
        <f t="shared" si="2"/>
        <v>0</v>
      </c>
      <c r="M14" s="45">
        <f t="shared" si="3"/>
        <v>0</v>
      </c>
    </row>
    <row r="15" spans="1:13" x14ac:dyDescent="0.25">
      <c r="A15" s="30">
        <v>11</v>
      </c>
      <c r="B15" s="44" t="str">
        <f>Fisico!B35</f>
        <v>P.2.3. Municipalidades y grupos de sociedad civil capacitados y utilizando las nuevas competencias adquiridas en prevención de violencia</v>
      </c>
      <c r="C15" s="44" t="str">
        <f>Fisico!D35</f>
        <v>No</v>
      </c>
      <c r="D15" s="45">
        <f>SUMPRODUCT((Financiero!$F$4:$M$4&lt;=Parametros!$C$6)*Financiero!$F$35:$M$35)</f>
        <v>97500</v>
      </c>
      <c r="E15" s="45">
        <f>SUMPRODUCT((Financiero!$F$4:$M$4&lt;Parametros!$C$6)*Financiero!$F$37:$M$37)+SUMPRODUCT((Financiero!$F$4:$M$4=Parametros!$C$6)*Financiero!$F$36:$M$36)</f>
        <v>97495</v>
      </c>
      <c r="F15" s="45">
        <f>SUMPRODUCT((Financiero!$F$4:$M$4&lt;=Parametros!$C$6)*Financiero!$F$37:$M$37)+0</f>
        <v>81046.84</v>
      </c>
      <c r="G15" s="46">
        <f>SUMPRODUCT((Fisico!$F$4:$M$4&lt;=Parametros!$C$6)*Fisico!$F$35:$M$35)</f>
        <v>15</v>
      </c>
      <c r="H15" s="46">
        <f>SUMPRODUCT((Fisico!$F$4:$M$4&lt;Parametros!$C$6)*Fisico!$F$37:$M$37)+SUMPRODUCT((Fisico!$F$4:$M$4=Parametros!$C$6)*Fisico!$F$36:$M$36)</f>
        <v>15</v>
      </c>
      <c r="I15" s="46">
        <f>SUMPRODUCT((Fisico!$F$4:$M$4&lt;=Parametros!$C$6)*Fisico!$F$37:$M$37)+0</f>
        <v>15</v>
      </c>
      <c r="J15" s="47">
        <f t="shared" si="0"/>
        <v>1</v>
      </c>
      <c r="K15" s="47">
        <f t="shared" si="1"/>
        <v>1</v>
      </c>
      <c r="L15" s="45">
        <f t="shared" si="2"/>
        <v>97500</v>
      </c>
      <c r="M15" s="45">
        <f t="shared" si="3"/>
        <v>97495</v>
      </c>
    </row>
    <row r="16" spans="1:13" x14ac:dyDescent="0.25">
      <c r="A16" s="30">
        <v>12</v>
      </c>
      <c r="B16" s="44" t="str">
        <f>Fisico!B38</f>
        <v>P.2.4. Estrategia de comunicación social de los CCP, diseñada e implementada</v>
      </c>
      <c r="C16" s="44" t="str">
        <f>Fisico!D38</f>
        <v>No</v>
      </c>
      <c r="D16" s="45">
        <f>SUMPRODUCT((Financiero!$F$4:$M$4&lt;=Parametros!$C$6)*Financiero!$F$38:$M$38)</f>
        <v>75000</v>
      </c>
      <c r="E16" s="45">
        <f>SUMPRODUCT((Financiero!$F$4:$M$4&lt;Parametros!$C$6)*Financiero!$F$40:$M$40)+SUMPRODUCT((Financiero!$F$4:$M$4=Parametros!$C$6)*Financiero!$F$39:$M$39)</f>
        <v>101393</v>
      </c>
      <c r="F16" s="45">
        <f>SUMPRODUCT((Financiero!$F$4:$M$4&lt;=Parametros!$C$6)*Financiero!$F$40:$M$40)+0</f>
        <v>46180</v>
      </c>
      <c r="G16" s="46">
        <f>SUMPRODUCT((Fisico!$F$4:$M$4&lt;=Parametros!$C$6)*Fisico!$F$38:$M$38)</f>
        <v>1</v>
      </c>
      <c r="H16" s="46">
        <f>SUMPRODUCT((Fisico!$F$4:$M$4&lt;Parametros!$C$6)*Fisico!$F$40:$M$40)+SUMPRODUCT((Fisico!$F$4:$M$4=Parametros!$C$6)*Fisico!$F$39:$M$39)</f>
        <v>1</v>
      </c>
      <c r="I16" s="46">
        <f>SUMPRODUCT((Fisico!$F$4:$M$4&lt;=Parametros!$C$6)*Fisico!$F$40:$M$40)+0</f>
        <v>1</v>
      </c>
      <c r="J16" s="47">
        <f t="shared" si="0"/>
        <v>1</v>
      </c>
      <c r="K16" s="47">
        <f t="shared" si="1"/>
        <v>1</v>
      </c>
      <c r="L16" s="45">
        <f t="shared" si="2"/>
        <v>75000</v>
      </c>
      <c r="M16" s="45">
        <f t="shared" si="3"/>
        <v>101393</v>
      </c>
    </row>
    <row r="17" spans="1:13" x14ac:dyDescent="0.25">
      <c r="A17" s="30">
        <v>13</v>
      </c>
      <c r="B17" s="44" t="str">
        <f>Fisico!B41</f>
        <v>P.2.5. Sistema de información integrado de los CCP, desarrollado e implementado</v>
      </c>
      <c r="C17" s="44" t="str">
        <f>Fisico!D41</f>
        <v>No</v>
      </c>
      <c r="D17" s="45">
        <f>SUMPRODUCT((Financiero!$F$4:$M$4&lt;=Parametros!$C$6)*Financiero!$F$41:$M$41)</f>
        <v>87500</v>
      </c>
      <c r="E17" s="45">
        <f>SUMPRODUCT((Financiero!$F$4:$M$4&lt;Parametros!$C$6)*Financiero!$F$43:$M$43)+SUMPRODUCT((Financiero!$F$4:$M$4=Parametros!$C$6)*Financiero!$F$42:$M$42)</f>
        <v>109170</v>
      </c>
      <c r="F17" s="45">
        <f>SUMPRODUCT((Financiero!$F$4:$M$4&lt;=Parametros!$C$6)*Financiero!$F$43:$M$43)+0</f>
        <v>99715</v>
      </c>
      <c r="G17" s="46">
        <f>SUMPRODUCT((Fisico!$F$4:$M$4&lt;=Parametros!$C$6)*Fisico!$F$41:$M$41)</f>
        <v>1</v>
      </c>
      <c r="H17" s="46">
        <f>SUMPRODUCT((Fisico!$F$4:$M$4&lt;Parametros!$C$6)*Fisico!$F$43:$M$43)+SUMPRODUCT((Fisico!$F$4:$M$4=Parametros!$C$6)*Fisico!$F$42:$M$42)</f>
        <v>1</v>
      </c>
      <c r="I17" s="46">
        <f>SUMPRODUCT((Fisico!$F$4:$M$4&lt;=Parametros!$C$6)*Fisico!$F$43:$M$43)+0</f>
        <v>0</v>
      </c>
      <c r="J17" s="47">
        <f t="shared" si="0"/>
        <v>0</v>
      </c>
      <c r="K17" s="47">
        <f t="shared" si="1"/>
        <v>0</v>
      </c>
      <c r="L17" s="45">
        <f t="shared" si="2"/>
        <v>0</v>
      </c>
      <c r="M17" s="45">
        <f t="shared" si="3"/>
        <v>0</v>
      </c>
    </row>
    <row r="18" spans="1:13" x14ac:dyDescent="0.25">
      <c r="A18" s="30">
        <v>14</v>
      </c>
      <c r="B18" s="44" t="str">
        <f>Fisico!B44</f>
        <v>P.2.6. Evaluación de impacto de los CCP diseñada e implementada</v>
      </c>
      <c r="C18" s="44" t="str">
        <f>Fisico!D44</f>
        <v>No</v>
      </c>
      <c r="D18" s="45">
        <f>SUMPRODUCT((Financiero!$F$4:$M$4&lt;=Parametros!$C$6)*Financiero!$F$44:$M$44)</f>
        <v>200000</v>
      </c>
      <c r="E18" s="45">
        <f>SUMPRODUCT((Financiero!$F$4:$M$4&lt;Parametros!$C$6)*Financiero!$F$46:$M$46)+SUMPRODUCT((Financiero!$F$4:$M$4=Parametros!$C$6)*Financiero!$F$45:$M$45)</f>
        <v>102087</v>
      </c>
      <c r="F18" s="45">
        <f>SUMPRODUCT((Financiero!$F$4:$M$4&lt;=Parametros!$C$6)*Financiero!$F$46:$M$46)+0</f>
        <v>13887.5</v>
      </c>
      <c r="G18" s="46">
        <f>SUMPRODUCT((Fisico!$F$4:$M$4&lt;=Parametros!$C$6)*Fisico!$F$44:$M$44)</f>
        <v>1</v>
      </c>
      <c r="H18" s="46">
        <f>SUMPRODUCT((Fisico!$F$4:$M$4&lt;Parametros!$C$6)*Fisico!$F$46:$M$46)+SUMPRODUCT((Fisico!$F$4:$M$4=Parametros!$C$6)*Fisico!$F$45:$M$45)</f>
        <v>1</v>
      </c>
      <c r="I18" s="46">
        <f>SUMPRODUCT((Fisico!$F$4:$M$4&lt;=Parametros!$C$6)*Fisico!$F$46:$M$46)+0</f>
        <v>0</v>
      </c>
      <c r="J18" s="47">
        <f t="shared" si="0"/>
        <v>0</v>
      </c>
      <c r="K18" s="47">
        <f t="shared" si="1"/>
        <v>0</v>
      </c>
      <c r="L18" s="45">
        <f t="shared" si="2"/>
        <v>0</v>
      </c>
      <c r="M18" s="45">
        <f t="shared" si="3"/>
        <v>0</v>
      </c>
    </row>
    <row r="19" spans="1:13" x14ac:dyDescent="0.25">
      <c r="A19" s="30">
        <v>15</v>
      </c>
      <c r="B19" s="44" t="str">
        <f>Fisico!B47</f>
        <v>P.2.7. CCP diseñados, construidos, equipados y en funcionamiento</v>
      </c>
      <c r="C19" s="44" t="str">
        <f>Fisico!D47</f>
        <v>Sí</v>
      </c>
      <c r="D19" s="45">
        <f>SUMPRODUCT((Financiero!$F$4:$M$4&lt;=Parametros!$C$6)*Financiero!$F$47:$M$47)</f>
        <v>31595000</v>
      </c>
      <c r="E19" s="45">
        <f>SUMPRODUCT((Financiero!$F$4:$M$4&lt;Parametros!$C$6)*Financiero!$F$49:$M$49)+SUMPRODUCT((Financiero!$F$4:$M$4=Parametros!$C$6)*Financiero!$F$48:$M$48)</f>
        <v>27741937.040000003</v>
      </c>
      <c r="F19" s="45">
        <f>SUMPRODUCT((Financiero!$F$4:$M$4&lt;=Parametros!$C$6)*Financiero!$F$49:$M$49)+0</f>
        <v>22823823.5</v>
      </c>
      <c r="G19" s="46">
        <f>SUMPRODUCT((Fisico!$F$4:$M$4&lt;=Parametros!$C$6)*Fisico!$F$47:$M$47)</f>
        <v>8</v>
      </c>
      <c r="H19" s="46">
        <f>SUMPRODUCT((Fisico!$F$4:$M$4&lt;Parametros!$C$6)*Fisico!$F$49:$M$49)+SUMPRODUCT((Fisico!$F$4:$M$4=Parametros!$C$6)*Fisico!$F$48:$M$48)</f>
        <v>4</v>
      </c>
      <c r="I19" s="46">
        <f>SUMPRODUCT((Fisico!$F$4:$M$4&lt;=Parametros!$C$6)*Fisico!$F$49:$M$49)+0</f>
        <v>4</v>
      </c>
      <c r="J19" s="47">
        <f t="shared" si="0"/>
        <v>0.5</v>
      </c>
      <c r="K19" s="47">
        <f t="shared" si="1"/>
        <v>1</v>
      </c>
      <c r="L19" s="45">
        <f t="shared" si="2"/>
        <v>17312500</v>
      </c>
      <c r="M19" s="45">
        <f t="shared" si="3"/>
        <v>17312500</v>
      </c>
    </row>
    <row r="20" spans="1:13" x14ac:dyDescent="0.25">
      <c r="B20" s="20" t="s">
        <v>175</v>
      </c>
      <c r="D20" s="48">
        <f>IF(SUM(D5:D19)=0,F20,SUM(D5:D19))</f>
        <v>95500000</v>
      </c>
      <c r="E20" s="48">
        <f>IF(SUM(E5:E19)=0,F20,SUM(E5:E19))</f>
        <v>84265871.500000015</v>
      </c>
      <c r="F20" s="48">
        <f>SUM(F5:F19)</f>
        <v>73541091.760000005</v>
      </c>
      <c r="L20" s="48">
        <f>IF(SUM(D5:D19)=0,F20,SUM(L5:L19))</f>
        <v>41258690.072857141</v>
      </c>
      <c r="M20" s="48">
        <f>IF(SUM(E5:E19)=0,F20,SUM(M5:M19))</f>
        <v>61941158.666470587</v>
      </c>
    </row>
    <row r="24" spans="1:13" ht="38.25" x14ac:dyDescent="0.25">
      <c r="A24" s="8" t="s">
        <v>79</v>
      </c>
      <c r="B24" s="8" t="s">
        <v>80</v>
      </c>
      <c r="C24" s="8" t="s">
        <v>176</v>
      </c>
      <c r="D24" s="8" t="s">
        <v>177</v>
      </c>
      <c r="E24" s="8" t="s">
        <v>178</v>
      </c>
      <c r="F24" s="8" t="s">
        <v>179</v>
      </c>
      <c r="G24" s="8" t="s">
        <v>180</v>
      </c>
      <c r="H24" s="8" t="s">
        <v>181</v>
      </c>
      <c r="I24" s="8" t="s">
        <v>182</v>
      </c>
    </row>
    <row r="25" spans="1:13" x14ac:dyDescent="0.25">
      <c r="A25" s="34">
        <f>Hitos!A5</f>
        <v>7</v>
      </c>
      <c r="B25" s="44" t="str">
        <f>Hitos!B5</f>
        <v>Delegaciones Policiales diseñadas</v>
      </c>
      <c r="C25" s="30">
        <f>SUMPRODUCT((Hitos!$D$4:$K$4&lt;=Parametros!$C$6)*Hitos!$D$7:$K$7)</f>
        <v>21</v>
      </c>
      <c r="D25" s="30">
        <v>0</v>
      </c>
      <c r="E25" s="30">
        <f>C25+D25</f>
        <v>21</v>
      </c>
      <c r="F25" s="34">
        <f>Hitos!L5</f>
        <v>35</v>
      </c>
      <c r="G25" s="34">
        <f>Hitos!L6</f>
        <v>21</v>
      </c>
      <c r="H25" s="45">
        <f>IF(F25=0,0,E25/F25*Hitos!M5)</f>
        <v>2904000</v>
      </c>
      <c r="I25" s="45">
        <f>IF(G25=0,0,E25/G25*Hitos!N5)</f>
        <v>4840000</v>
      </c>
    </row>
    <row r="26" spans="1:13" x14ac:dyDescent="0.25">
      <c r="A26" s="34">
        <f>Hitos!A8</f>
        <v>7</v>
      </c>
      <c r="B26" s="44" t="str">
        <f>Hitos!B8</f>
        <v>Delegaciones Policiales construidas, equipadas y operando</v>
      </c>
      <c r="C26" s="30">
        <f>SUMPRODUCT((Hitos!$D$4:$K$4&lt;=Parametros!$C$6)*Hitos!$D$10:$K$10)</f>
        <v>12</v>
      </c>
      <c r="D26" s="30">
        <v>0</v>
      </c>
      <c r="E26" s="30">
        <f>C26+D26</f>
        <v>12</v>
      </c>
      <c r="F26" s="34">
        <f>Hitos!L8</f>
        <v>35</v>
      </c>
      <c r="G26" s="34">
        <f>Hitos!L9</f>
        <v>17</v>
      </c>
      <c r="H26" s="45">
        <f>IF(F26=0,0,E26/F26*Hitos!M8)</f>
        <v>17826696.342857145</v>
      </c>
      <c r="I26" s="45">
        <f>IF(G26=0,0,E26/G26*Hitos!N8)</f>
        <v>36702021.176470593</v>
      </c>
    </row>
    <row r="27" spans="1:13" x14ac:dyDescent="0.25">
      <c r="A27" s="34">
        <f>Hitos!A11</f>
        <v>15</v>
      </c>
      <c r="B27" s="44" t="str">
        <f>Hitos!B11</f>
        <v>CCPs diseñados</v>
      </c>
      <c r="C27" s="30">
        <f>SUMPRODUCT((Hitos!$D$4:$K$4&lt;=Parametros!$C$6)*Hitos!$D$13:$K$13)</f>
        <v>8</v>
      </c>
      <c r="D27" s="30">
        <v>0</v>
      </c>
      <c r="E27" s="30">
        <f>C27+D27</f>
        <v>8</v>
      </c>
      <c r="F27" s="34">
        <f>Hitos!L11</f>
        <v>8</v>
      </c>
      <c r="G27" s="34">
        <f>Hitos!L12</f>
        <v>8</v>
      </c>
      <c r="H27" s="45">
        <f>IF(F27=0,0,E27/F27*Hitos!M11)</f>
        <v>2300000</v>
      </c>
      <c r="I27" s="45">
        <f>IF(G27=0,0,E27/G27*Hitos!N11)</f>
        <v>2300000</v>
      </c>
    </row>
    <row r="28" spans="1:13" x14ac:dyDescent="0.25">
      <c r="A28" s="34">
        <f>Hitos!A14</f>
        <v>15</v>
      </c>
      <c r="B28" s="44" t="str">
        <f>Hitos!B14</f>
        <v>CCPs construidos, equipados y en funcionamiento</v>
      </c>
      <c r="C28" s="30">
        <f>SUMPRODUCT((Hitos!$D$4:$K$4&lt;=Parametros!$C$6)*Hitos!$D$16:$K$16)</f>
        <v>4</v>
      </c>
      <c r="D28" s="30">
        <v>0</v>
      </c>
      <c r="E28" s="30">
        <f>C28+D28</f>
        <v>4</v>
      </c>
      <c r="F28" s="34">
        <f>Hitos!L14</f>
        <v>8</v>
      </c>
      <c r="G28" s="34">
        <f>Hitos!L15</f>
        <v>8</v>
      </c>
      <c r="H28" s="45">
        <f>IF(F28=0,0,E28/F28*Hitos!M14)</f>
        <v>14282500</v>
      </c>
      <c r="I28" s="45">
        <f>IF(G28=0,0,E28/G28*Hitos!N14)</f>
        <v>14282500</v>
      </c>
    </row>
    <row r="29" spans="1:13" x14ac:dyDescent="0.25">
      <c r="A29" s="34">
        <f>Hitos!A17</f>
        <v>15</v>
      </c>
      <c r="B29" s="44" t="str">
        <f>Hitos!B17</f>
        <v>Techados de Skate Parks Garabito y Santa Cruz construidos</v>
      </c>
      <c r="C29" s="30">
        <f>SUMPRODUCT((Hitos!$D$4:$K$4&lt;=Parametros!$C$6)*Hitos!$D$19:$K$19)</f>
        <v>2</v>
      </c>
      <c r="D29" s="30">
        <v>0</v>
      </c>
      <c r="E29" s="30">
        <f>C29+D29</f>
        <v>2</v>
      </c>
      <c r="F29" s="34">
        <f>Hitos!L17</f>
        <v>2</v>
      </c>
      <c r="G29" s="34">
        <f>Hitos!L18</f>
        <v>2</v>
      </c>
      <c r="H29" s="45">
        <f>IF(F29=0,0,E29/F29*Hitos!M17)</f>
        <v>730000</v>
      </c>
      <c r="I29" s="45">
        <f>IF(G29=0,0,E29/G29*Hitos!N17)</f>
        <v>730000</v>
      </c>
    </row>
    <row r="35" spans="1:13" x14ac:dyDescent="0.25">
      <c r="A35" s="29" t="s">
        <v>183</v>
      </c>
      <c r="C35" s="43" t="str">
        <f>Escenarios!D5</f>
        <v>Cierre 2026 sin cambios</v>
      </c>
    </row>
    <row r="36" spans="1:13" ht="25.5" x14ac:dyDescent="0.25">
      <c r="A36" s="8" t="s">
        <v>74</v>
      </c>
      <c r="B36" s="8" t="s">
        <v>75</v>
      </c>
      <c r="C36" s="8" t="s">
        <v>164</v>
      </c>
      <c r="D36" s="8" t="s">
        <v>165</v>
      </c>
      <c r="E36" s="8" t="s">
        <v>166</v>
      </c>
      <c r="F36" s="8" t="s">
        <v>167</v>
      </c>
      <c r="G36" s="8" t="s">
        <v>168</v>
      </c>
      <c r="H36" s="8" t="s">
        <v>169</v>
      </c>
      <c r="I36" s="8" t="s">
        <v>170</v>
      </c>
      <c r="J36" s="8" t="s">
        <v>171</v>
      </c>
      <c r="K36" s="8" t="s">
        <v>172</v>
      </c>
      <c r="L36" s="8" t="s">
        <v>173</v>
      </c>
      <c r="M36" s="8" t="s">
        <v>174</v>
      </c>
    </row>
    <row r="37" spans="1:13" x14ac:dyDescent="0.25">
      <c r="A37" s="30">
        <v>1</v>
      </c>
      <c r="B37" s="44" t="str">
        <f>Fisico!B5</f>
        <v>P1.1. Plataformas de datos policiales integradas e interoperables</v>
      </c>
      <c r="C37" s="44" t="str">
        <f>Fisico!D5</f>
        <v>No</v>
      </c>
      <c r="D37" s="45">
        <f>SUMPRODUCT((Financiero!$F$4:$M$4&lt;=Parametros!$C$6)*Financiero!$F$5:$M$5)</f>
        <v>758011</v>
      </c>
      <c r="E37" s="45">
        <f>SUMPRODUCT((Financiero!$F$4:$M$4&lt;Parametros!$C$6)*Financiero!$F$7:$M$7)+SUMPRODUCT((Financiero!$F$4:$M$4=Parametros!$C$6)*Financiero!$F$6:$M$6)</f>
        <v>224656.16</v>
      </c>
      <c r="F37" s="45">
        <f>SUMPRODUCT((Financiero!$F$4:$M$4&lt;=Parametros!$C$6)*Financiero!$F$7:$M$7)+N(Escenarios!D16)</f>
        <v>224656.16</v>
      </c>
      <c r="G37" s="46">
        <f>SUMPRODUCT((Fisico!$F$4:$M$4&lt;=Parametros!$C$6)*Fisico!$F$5:$M$5)</f>
        <v>1</v>
      </c>
      <c r="H37" s="46">
        <f>SUMPRODUCT((Fisico!$F$4:$M$4&lt;Parametros!$C$6)*Fisico!$F$7:$M$7)+SUMPRODUCT((Fisico!$F$4:$M$4=Parametros!$C$6)*Fisico!$F$6:$M$6)</f>
        <v>0</v>
      </c>
      <c r="I37" s="46">
        <f>SUMPRODUCT((Fisico!$F$4:$M$4&lt;=Parametros!$C$6)*Fisico!$F$7:$M$7)+N(Escenarios!C16)</f>
        <v>0</v>
      </c>
      <c r="J37" s="47">
        <f t="shared" ref="J37:J51" si="4">IF(G37=0,"N/A",I37/G37)</f>
        <v>0</v>
      </c>
      <c r="K37" s="47" t="str">
        <f t="shared" ref="K37:K51" si="5">IF(H37=0,"N/A",I37/H37)</f>
        <v>N/A</v>
      </c>
      <c r="L37" s="45">
        <f t="shared" ref="L37:L51" si="6">IF(C37="Sí",SUMIF($A$57:$A$61,A37,$H$57:$H$61),IF(J37="N/A",F37,J37*D37))</f>
        <v>0</v>
      </c>
      <c r="M37" s="45">
        <f t="shared" ref="M37:M51" si="7">IF(C37="Sí",SUMIF($A$57:$A$61,A37,$I$57:$I$61),IF(K37="N/A",F37,K37*E37))</f>
        <v>224656.16</v>
      </c>
    </row>
    <row r="38" spans="1:13" x14ac:dyDescent="0.25">
      <c r="A38" s="30">
        <v>2</v>
      </c>
      <c r="B38" s="44" t="str">
        <f>Fisico!B8</f>
        <v>P1.2. Sistema de información delictual fortalecidos y en funcionamiento</v>
      </c>
      <c r="C38" s="44" t="str">
        <f>Fisico!D8</f>
        <v>No</v>
      </c>
      <c r="D38" s="45">
        <f>SUMPRODUCT((Financiero!$F$4:$M$4&lt;=Parametros!$C$6)*Financiero!$F$8:$M$8)</f>
        <v>3104457</v>
      </c>
      <c r="E38" s="45">
        <f>SUMPRODUCT((Financiero!$F$4:$M$4&lt;Parametros!$C$6)*Financiero!$F$10:$M$10)+SUMPRODUCT((Financiero!$F$4:$M$4=Parametros!$C$6)*Financiero!$F$9:$M$9)</f>
        <v>23360</v>
      </c>
      <c r="F38" s="45">
        <f>SUMPRODUCT((Financiero!$F$4:$M$4&lt;=Parametros!$C$6)*Financiero!$F$10:$M$10)+N(Escenarios!D17)</f>
        <v>23360</v>
      </c>
      <c r="G38" s="46">
        <f>SUMPRODUCT((Fisico!$F$4:$M$4&lt;=Parametros!$C$6)*Fisico!$F$8:$M$8)</f>
        <v>1</v>
      </c>
      <c r="H38" s="46">
        <f>SUMPRODUCT((Fisico!$F$4:$M$4&lt;Parametros!$C$6)*Fisico!$F$10:$M$10)+SUMPRODUCT((Fisico!$F$4:$M$4=Parametros!$C$6)*Fisico!$F$9:$M$9)</f>
        <v>0</v>
      </c>
      <c r="I38" s="46">
        <f>SUMPRODUCT((Fisico!$F$4:$M$4&lt;=Parametros!$C$6)*Fisico!$F$10:$M$10)+N(Escenarios!C17)</f>
        <v>0</v>
      </c>
      <c r="J38" s="47">
        <f t="shared" si="4"/>
        <v>0</v>
      </c>
      <c r="K38" s="47" t="str">
        <f t="shared" si="5"/>
        <v>N/A</v>
      </c>
      <c r="L38" s="45">
        <f t="shared" si="6"/>
        <v>0</v>
      </c>
      <c r="M38" s="45">
        <f t="shared" si="7"/>
        <v>23360</v>
      </c>
    </row>
    <row r="39" spans="1:13" x14ac:dyDescent="0.25">
      <c r="A39" s="30">
        <v>3</v>
      </c>
      <c r="B39" s="44" t="str">
        <f>Fisico!B11</f>
        <v>P.1.3. Departamentos de la FP capacitados en análisis criminal y monitoreo de dinámicas delictivas</v>
      </c>
      <c r="C39" s="44" t="str">
        <f>Fisico!D11</f>
        <v>No</v>
      </c>
      <c r="D39" s="45">
        <f>SUMPRODUCT((Financiero!$F$4:$M$4&lt;=Parametros!$C$6)*Financiero!$F$11:$M$11)</f>
        <v>300000</v>
      </c>
      <c r="E39" s="45">
        <f>SUMPRODUCT((Financiero!$F$4:$M$4&lt;Parametros!$C$6)*Financiero!$F$13:$M$13)+SUMPRODUCT((Financiero!$F$4:$M$4=Parametros!$C$6)*Financiero!$F$12:$M$12)</f>
        <v>140489.60000000001</v>
      </c>
      <c r="F39" s="45">
        <f>SUMPRODUCT((Financiero!$F$4:$M$4&lt;=Parametros!$C$6)*Financiero!$F$13:$M$13)+N(Escenarios!D18)</f>
        <v>140489.60000000001</v>
      </c>
      <c r="G39" s="46">
        <f>SUMPRODUCT((Fisico!$F$4:$M$4&lt;=Parametros!$C$6)*Fisico!$F$11:$M$11)</f>
        <v>16</v>
      </c>
      <c r="H39" s="46">
        <f>SUMPRODUCT((Fisico!$F$4:$M$4&lt;Parametros!$C$6)*Fisico!$F$13:$M$13)+SUMPRODUCT((Fisico!$F$4:$M$4=Parametros!$C$6)*Fisico!$F$12:$M$12)</f>
        <v>29</v>
      </c>
      <c r="I39" s="46">
        <f>SUMPRODUCT((Fisico!$F$4:$M$4&lt;=Parametros!$C$6)*Fisico!$F$13:$M$13)+N(Escenarios!C18)</f>
        <v>29</v>
      </c>
      <c r="J39" s="47">
        <f t="shared" si="4"/>
        <v>1.8125</v>
      </c>
      <c r="K39" s="47">
        <f t="shared" si="5"/>
        <v>1</v>
      </c>
      <c r="L39" s="45">
        <f t="shared" si="6"/>
        <v>543750</v>
      </c>
      <c r="M39" s="45">
        <f t="shared" si="7"/>
        <v>140489.60000000001</v>
      </c>
    </row>
    <row r="40" spans="1:13" x14ac:dyDescent="0.25">
      <c r="A40" s="30">
        <v>4</v>
      </c>
      <c r="B40" s="44" t="str">
        <f>Fisico!B14</f>
        <v>P.1.4. Estrategias policiales basadas en evidencia diseñadas e implementadas</v>
      </c>
      <c r="C40" s="44" t="str">
        <f>Fisico!D14</f>
        <v>No</v>
      </c>
      <c r="D40" s="45">
        <f>SUMPRODUCT((Financiero!$F$4:$M$4&lt;=Parametros!$C$6)*Financiero!$F$14:$M$14)</f>
        <v>1603001</v>
      </c>
      <c r="E40" s="45">
        <f>SUMPRODUCT((Financiero!$F$4:$M$4&lt;Parametros!$C$6)*Financiero!$F$16:$M$16)+SUMPRODUCT((Financiero!$F$4:$M$4=Parametros!$C$6)*Financiero!$F$15:$M$15)</f>
        <v>1399764.2400000002</v>
      </c>
      <c r="F40" s="45">
        <f>SUMPRODUCT((Financiero!$F$4:$M$4&lt;=Parametros!$C$6)*Financiero!$F$16:$M$16)+N(Escenarios!D19)</f>
        <v>835473.63000000012</v>
      </c>
      <c r="G40" s="46">
        <f>SUMPRODUCT((Fisico!$F$4:$M$4&lt;=Parametros!$C$6)*Fisico!$F$14:$M$14)</f>
        <v>1</v>
      </c>
      <c r="H40" s="46">
        <f>SUMPRODUCT((Fisico!$F$4:$M$4&lt;Parametros!$C$6)*Fisico!$F$16:$M$16)+SUMPRODUCT((Fisico!$F$4:$M$4=Parametros!$C$6)*Fisico!$F$15:$M$15)</f>
        <v>1</v>
      </c>
      <c r="I40" s="46">
        <f>SUMPRODUCT((Fisico!$F$4:$M$4&lt;=Parametros!$C$6)*Fisico!$F$16:$M$16)+N(Escenarios!C19)</f>
        <v>0</v>
      </c>
      <c r="J40" s="47">
        <f t="shared" si="4"/>
        <v>0</v>
      </c>
      <c r="K40" s="47">
        <f t="shared" si="5"/>
        <v>0</v>
      </c>
      <c r="L40" s="45">
        <f t="shared" si="6"/>
        <v>0</v>
      </c>
      <c r="M40" s="45">
        <f t="shared" si="7"/>
        <v>0</v>
      </c>
    </row>
    <row r="41" spans="1:13" x14ac:dyDescent="0.25">
      <c r="A41" s="30">
        <v>5</v>
      </c>
      <c r="B41" s="44" t="str">
        <f>Fisico!B17</f>
        <v>P.1.5. Evaluación de impacto de estrategias policiales basadas en evidencia diseñada e implementada</v>
      </c>
      <c r="C41" s="44" t="str">
        <f>Fisico!D17</f>
        <v>No</v>
      </c>
      <c r="D41" s="45">
        <f>SUMPRODUCT((Financiero!$F$4:$M$4&lt;=Parametros!$C$6)*Financiero!$F$17:$M$17)</f>
        <v>150000</v>
      </c>
      <c r="E41" s="45">
        <f>SUMPRODUCT((Financiero!$F$4:$M$4&lt;Parametros!$C$6)*Financiero!$F$19:$M$19)+SUMPRODUCT((Financiero!$F$4:$M$4=Parametros!$C$6)*Financiero!$F$18:$M$18)</f>
        <v>130000</v>
      </c>
      <c r="F41" s="45">
        <f>SUMPRODUCT((Financiero!$F$4:$M$4&lt;=Parametros!$C$6)*Financiero!$F$19:$M$19)+N(Escenarios!D20)</f>
        <v>97637.5</v>
      </c>
      <c r="G41" s="46">
        <f>SUMPRODUCT((Fisico!$F$4:$M$4&lt;=Parametros!$C$6)*Fisico!$F$17:$M$17)</f>
        <v>1</v>
      </c>
      <c r="H41" s="46">
        <f>SUMPRODUCT((Fisico!$F$4:$M$4&lt;Parametros!$C$6)*Fisico!$F$19:$M$19)+SUMPRODUCT((Fisico!$F$4:$M$4=Parametros!$C$6)*Fisico!$F$18:$M$18)</f>
        <v>1</v>
      </c>
      <c r="I41" s="46">
        <f>SUMPRODUCT((Fisico!$F$4:$M$4&lt;=Parametros!$C$6)*Fisico!$F$19:$M$19)+N(Escenarios!C20)</f>
        <v>0</v>
      </c>
      <c r="J41" s="47">
        <f t="shared" si="4"/>
        <v>0</v>
      </c>
      <c r="K41" s="47">
        <f t="shared" si="5"/>
        <v>0</v>
      </c>
      <c r="L41" s="45">
        <f t="shared" si="6"/>
        <v>0</v>
      </c>
      <c r="M41" s="45">
        <f t="shared" si="7"/>
        <v>0</v>
      </c>
    </row>
    <row r="42" spans="1:13" x14ac:dyDescent="0.25">
      <c r="A42" s="30">
        <v>6</v>
      </c>
      <c r="B42" s="44" t="str">
        <f>Fisico!B20</f>
        <v>P.1.6. Sistema de procesamiento de quejas ciudadanas y procesos disciplinarios, fortalecido</v>
      </c>
      <c r="C42" s="44" t="str">
        <f>Fisico!D20</f>
        <v>No</v>
      </c>
      <c r="D42" s="45">
        <f>SUMPRODUCT((Financiero!$F$4:$M$4&lt;=Parametros!$C$6)*Financiero!$F$20:$M$20)</f>
        <v>250000</v>
      </c>
      <c r="E42" s="45">
        <f>SUMPRODUCT((Financiero!$F$4:$M$4&lt;Parametros!$C$6)*Financiero!$F$22:$M$22)+SUMPRODUCT((Financiero!$F$4:$M$4=Parametros!$C$6)*Financiero!$F$21:$M$21)</f>
        <v>365000</v>
      </c>
      <c r="F42" s="45">
        <f>SUMPRODUCT((Financiero!$F$4:$M$4&lt;=Parametros!$C$6)*Financiero!$F$22:$M$22)+N(Escenarios!D21)</f>
        <v>277246.95</v>
      </c>
      <c r="G42" s="46">
        <f>SUMPRODUCT((Fisico!$F$4:$M$4&lt;=Parametros!$C$6)*Fisico!$F$20:$M$20)</f>
        <v>1</v>
      </c>
      <c r="H42" s="46">
        <f>SUMPRODUCT((Fisico!$F$4:$M$4&lt;Parametros!$C$6)*Fisico!$F$22:$M$22)+SUMPRODUCT((Fisico!$F$4:$M$4=Parametros!$C$6)*Fisico!$F$21:$M$21)</f>
        <v>1</v>
      </c>
      <c r="I42" s="46">
        <f>SUMPRODUCT((Fisico!$F$4:$M$4&lt;=Parametros!$C$6)*Fisico!$F$22:$M$22)+N(Escenarios!C21)</f>
        <v>0</v>
      </c>
      <c r="J42" s="47">
        <f t="shared" si="4"/>
        <v>0</v>
      </c>
      <c r="K42" s="47">
        <f t="shared" si="5"/>
        <v>0</v>
      </c>
      <c r="L42" s="45">
        <f t="shared" si="6"/>
        <v>0</v>
      </c>
      <c r="M42" s="45">
        <f t="shared" si="7"/>
        <v>0</v>
      </c>
    </row>
    <row r="43" spans="1:13" x14ac:dyDescent="0.25">
      <c r="A43" s="30">
        <v>7</v>
      </c>
      <c r="B43" s="44" t="str">
        <f>Fisico!B23</f>
        <v>P.1.7. Delegaciones diseñadas, construida, equipadas y operando bajo el enfoque de policía comunitaria</v>
      </c>
      <c r="C43" s="44" t="str">
        <f>Fisico!D23</f>
        <v>Sí</v>
      </c>
      <c r="D43" s="45">
        <f>SUMPRODUCT((Financiero!$F$4:$M$4&lt;=Parametros!$C$6)*Financiero!$F$23:$M$23)</f>
        <v>56834531</v>
      </c>
      <c r="E43" s="45">
        <f>SUMPRODUCT((Financiero!$F$4:$M$4&lt;Parametros!$C$6)*Financiero!$F$25:$M$25)+SUMPRODUCT((Financiero!$F$4:$M$4=Parametros!$C$6)*Financiero!$F$24:$M$24)</f>
        <v>50172908.210000008</v>
      </c>
      <c r="F43" s="45">
        <f>SUMPRODUCT((Financiero!$F$4:$M$4&lt;=Parametros!$C$6)*Financiero!$F$25:$M$25)+N(Escenarios!D22)</f>
        <v>46198416.25</v>
      </c>
      <c r="G43" s="46">
        <f>SUMPRODUCT((Fisico!$F$4:$M$4&lt;=Parametros!$C$6)*Fisico!$F$23:$M$23)</f>
        <v>35</v>
      </c>
      <c r="H43" s="46">
        <f>SUMPRODUCT((Fisico!$F$4:$M$4&lt;Parametros!$C$6)*Fisico!$F$25:$M$25)+SUMPRODUCT((Fisico!$F$4:$M$4=Parametros!$C$6)*Fisico!$F$24:$M$24)</f>
        <v>11</v>
      </c>
      <c r="I43" s="46">
        <f>SUMPRODUCT((Fisico!$F$4:$M$4&lt;=Parametros!$C$6)*Fisico!$F$25:$M$25)+N(Escenarios!C22)</f>
        <v>15</v>
      </c>
      <c r="J43" s="47">
        <f t="shared" si="4"/>
        <v>0.42857142857142855</v>
      </c>
      <c r="K43" s="47">
        <f t="shared" si="5"/>
        <v>1.3636363636363635</v>
      </c>
      <c r="L43" s="45">
        <f t="shared" si="6"/>
        <v>20730696.342857145</v>
      </c>
      <c r="M43" s="45">
        <f t="shared" si="7"/>
        <v>41542021.176470593</v>
      </c>
    </row>
    <row r="44" spans="1:13" x14ac:dyDescent="0.25">
      <c r="A44" s="30">
        <v>8</v>
      </c>
      <c r="B44" s="44" t="str">
        <f>Fisico!B26</f>
        <v>Centro de Mando y Control Policial (CMCP) diseñado, construido, equipado y en funcionamiento</v>
      </c>
      <c r="C44" s="44" t="str">
        <f>Fisico!D26</f>
        <v>No</v>
      </c>
      <c r="D44" s="45">
        <f>SUMPRODUCT((Financiero!$F$4:$M$4&lt;=Parametros!$C$6)*Financiero!$F$26:$M$26)</f>
        <v>0</v>
      </c>
      <c r="E44" s="45">
        <f>SUMPRODUCT((Financiero!$F$4:$M$4&lt;Parametros!$C$6)*Financiero!$F$28:$M$28)+SUMPRODUCT((Financiero!$F$4:$M$4=Parametros!$C$6)*Financiero!$F$27:$M$27)</f>
        <v>3162756.25</v>
      </c>
      <c r="F44" s="45">
        <f>SUMPRODUCT((Financiero!$F$4:$M$4&lt;=Parametros!$C$6)*Financiero!$F$28:$M$28)+N(Escenarios!D23)</f>
        <v>2499243.73</v>
      </c>
      <c r="G44" s="46">
        <f>SUMPRODUCT((Fisico!$F$4:$M$4&lt;=Parametros!$C$6)*Fisico!$F$26:$M$26)</f>
        <v>0</v>
      </c>
      <c r="H44" s="46">
        <f>SUMPRODUCT((Fisico!$F$4:$M$4&lt;Parametros!$C$6)*Fisico!$F$28:$M$28)+SUMPRODUCT((Fisico!$F$4:$M$4=Parametros!$C$6)*Fisico!$F$27:$M$27)</f>
        <v>0</v>
      </c>
      <c r="I44" s="46">
        <f>SUMPRODUCT((Fisico!$F$4:$M$4&lt;=Parametros!$C$6)*Fisico!$F$28:$M$28)+N(Escenarios!C23)</f>
        <v>0</v>
      </c>
      <c r="J44" s="47" t="str">
        <f t="shared" si="4"/>
        <v>N/A</v>
      </c>
      <c r="K44" s="47" t="str">
        <f t="shared" si="5"/>
        <v>N/A</v>
      </c>
      <c r="L44" s="45">
        <f t="shared" si="6"/>
        <v>2499243.73</v>
      </c>
      <c r="M44" s="45">
        <f t="shared" si="7"/>
        <v>2499243.73</v>
      </c>
    </row>
    <row r="45" spans="1:13" x14ac:dyDescent="0.25">
      <c r="A45" s="30">
        <v>9</v>
      </c>
      <c r="B45" s="44" t="str">
        <f>Fisico!B29</f>
        <v>P.2.1. Modelo de atención de los CCP actualizado, fortalecido, y en funcionamiento en los CCPs de la red</v>
      </c>
      <c r="C45" s="44" t="str">
        <f>Fisico!D29</f>
        <v>No</v>
      </c>
      <c r="D45" s="45">
        <f>SUMPRODUCT((Financiero!$F$4:$M$4&lt;=Parametros!$C$6)*Financiero!$F$29:$M$29)</f>
        <v>300000</v>
      </c>
      <c r="E45" s="45">
        <f>SUMPRODUCT((Financiero!$F$4:$M$4&lt;Parametros!$C$6)*Financiero!$F$31:$M$31)+SUMPRODUCT((Financiero!$F$4:$M$4=Parametros!$C$6)*Financiero!$F$30:$M$30)</f>
        <v>353000</v>
      </c>
      <c r="F45" s="45">
        <f>SUMPRODUCT((Financiero!$F$4:$M$4&lt;=Parametros!$C$6)*Financiero!$F$31:$M$31)+N(Escenarios!D24)</f>
        <v>179915.1</v>
      </c>
      <c r="G45" s="46">
        <f>SUMPRODUCT((Fisico!$F$4:$M$4&lt;=Parametros!$C$6)*Fisico!$F$29:$M$29)</f>
        <v>1</v>
      </c>
      <c r="H45" s="46">
        <f>SUMPRODUCT((Fisico!$F$4:$M$4&lt;Parametros!$C$6)*Fisico!$F$31:$M$31)+SUMPRODUCT((Fisico!$F$4:$M$4=Parametros!$C$6)*Fisico!$F$30:$M$30)</f>
        <v>1</v>
      </c>
      <c r="I45" s="46">
        <f>SUMPRODUCT((Fisico!$F$4:$M$4&lt;=Parametros!$C$6)*Fisico!$F$31:$M$31)+N(Escenarios!C24)</f>
        <v>0</v>
      </c>
      <c r="J45" s="47">
        <f t="shared" si="4"/>
        <v>0</v>
      </c>
      <c r="K45" s="47">
        <f t="shared" si="5"/>
        <v>0</v>
      </c>
      <c r="L45" s="45">
        <f t="shared" si="6"/>
        <v>0</v>
      </c>
      <c r="M45" s="45">
        <f t="shared" si="7"/>
        <v>0</v>
      </c>
    </row>
    <row r="46" spans="1:13" x14ac:dyDescent="0.25">
      <c r="A46" s="30">
        <v>10</v>
      </c>
      <c r="B46" s="44" t="str">
        <f>Fisico!B32</f>
        <v>P.2.2. Modelo de gestión de los CCP homologado, fortalecido y en funcionamiento en los CCPs de la red</v>
      </c>
      <c r="C46" s="44" t="str">
        <f>Fisico!D32</f>
        <v>No</v>
      </c>
      <c r="D46" s="45">
        <f>SUMPRODUCT((Financiero!$F$4:$M$4&lt;=Parametros!$C$6)*Financiero!$F$32:$M$32)</f>
        <v>145000</v>
      </c>
      <c r="E46" s="45">
        <f>SUMPRODUCT((Financiero!$F$4:$M$4&lt;Parametros!$C$6)*Financiero!$F$34:$M$34)+SUMPRODUCT((Financiero!$F$4:$M$4=Parametros!$C$6)*Financiero!$F$33:$M$33)</f>
        <v>141855</v>
      </c>
      <c r="F46" s="45">
        <f>SUMPRODUCT((Financiero!$F$4:$M$4&lt;=Parametros!$C$6)*Financiero!$F$34:$M$34)+N(Escenarios!D25)</f>
        <v>0</v>
      </c>
      <c r="G46" s="46">
        <f>SUMPRODUCT((Fisico!$F$4:$M$4&lt;=Parametros!$C$6)*Fisico!$F$32:$M$32)</f>
        <v>1</v>
      </c>
      <c r="H46" s="46">
        <f>SUMPRODUCT((Fisico!$F$4:$M$4&lt;Parametros!$C$6)*Fisico!$F$34:$M$34)+SUMPRODUCT((Fisico!$F$4:$M$4=Parametros!$C$6)*Fisico!$F$33:$M$33)</f>
        <v>1</v>
      </c>
      <c r="I46" s="46">
        <f>SUMPRODUCT((Fisico!$F$4:$M$4&lt;=Parametros!$C$6)*Fisico!$F$34:$M$34)+N(Escenarios!C25)</f>
        <v>0</v>
      </c>
      <c r="J46" s="47">
        <f t="shared" si="4"/>
        <v>0</v>
      </c>
      <c r="K46" s="47">
        <f t="shared" si="5"/>
        <v>0</v>
      </c>
      <c r="L46" s="45">
        <f t="shared" si="6"/>
        <v>0</v>
      </c>
      <c r="M46" s="45">
        <f t="shared" si="7"/>
        <v>0</v>
      </c>
    </row>
    <row r="47" spans="1:13" x14ac:dyDescent="0.25">
      <c r="A47" s="30">
        <v>11</v>
      </c>
      <c r="B47" s="44" t="str">
        <f>Fisico!B35</f>
        <v>P.2.3. Municipalidades y grupos de sociedad civil capacitados y utilizando las nuevas competencias adquiridas en prevención de violencia</v>
      </c>
      <c r="C47" s="44" t="str">
        <f>Fisico!D35</f>
        <v>No</v>
      </c>
      <c r="D47" s="45">
        <f>SUMPRODUCT((Financiero!$F$4:$M$4&lt;=Parametros!$C$6)*Financiero!$F$35:$M$35)</f>
        <v>97500</v>
      </c>
      <c r="E47" s="45">
        <f>SUMPRODUCT((Financiero!$F$4:$M$4&lt;Parametros!$C$6)*Financiero!$F$37:$M$37)+SUMPRODUCT((Financiero!$F$4:$M$4=Parametros!$C$6)*Financiero!$F$36:$M$36)</f>
        <v>97495</v>
      </c>
      <c r="F47" s="45">
        <f>SUMPRODUCT((Financiero!$F$4:$M$4&lt;=Parametros!$C$6)*Financiero!$F$37:$M$37)+N(Escenarios!D26)</f>
        <v>81046.84</v>
      </c>
      <c r="G47" s="46">
        <f>SUMPRODUCT((Fisico!$F$4:$M$4&lt;=Parametros!$C$6)*Fisico!$F$35:$M$35)</f>
        <v>15</v>
      </c>
      <c r="H47" s="46">
        <f>SUMPRODUCT((Fisico!$F$4:$M$4&lt;Parametros!$C$6)*Fisico!$F$37:$M$37)+SUMPRODUCT((Fisico!$F$4:$M$4=Parametros!$C$6)*Fisico!$F$36:$M$36)</f>
        <v>15</v>
      </c>
      <c r="I47" s="46">
        <f>SUMPRODUCT((Fisico!$F$4:$M$4&lt;=Parametros!$C$6)*Fisico!$F$37:$M$37)+N(Escenarios!C26)</f>
        <v>15</v>
      </c>
      <c r="J47" s="47">
        <f t="shared" si="4"/>
        <v>1</v>
      </c>
      <c r="K47" s="47">
        <f t="shared" si="5"/>
        <v>1</v>
      </c>
      <c r="L47" s="45">
        <f t="shared" si="6"/>
        <v>97500</v>
      </c>
      <c r="M47" s="45">
        <f t="shared" si="7"/>
        <v>97495</v>
      </c>
    </row>
    <row r="48" spans="1:13" x14ac:dyDescent="0.25">
      <c r="A48" s="30">
        <v>12</v>
      </c>
      <c r="B48" s="44" t="str">
        <f>Fisico!B38</f>
        <v>P.2.4. Estrategia de comunicación social de los CCP, diseñada e implementada</v>
      </c>
      <c r="C48" s="44" t="str">
        <f>Fisico!D38</f>
        <v>No</v>
      </c>
      <c r="D48" s="45">
        <f>SUMPRODUCT((Financiero!$F$4:$M$4&lt;=Parametros!$C$6)*Financiero!$F$38:$M$38)</f>
        <v>75000</v>
      </c>
      <c r="E48" s="45">
        <f>SUMPRODUCT((Financiero!$F$4:$M$4&lt;Parametros!$C$6)*Financiero!$F$40:$M$40)+SUMPRODUCT((Financiero!$F$4:$M$4=Parametros!$C$6)*Financiero!$F$39:$M$39)</f>
        <v>101393</v>
      </c>
      <c r="F48" s="45">
        <f>SUMPRODUCT((Financiero!$F$4:$M$4&lt;=Parametros!$C$6)*Financiero!$F$40:$M$40)+N(Escenarios!D27)</f>
        <v>46180</v>
      </c>
      <c r="G48" s="46">
        <f>SUMPRODUCT((Fisico!$F$4:$M$4&lt;=Parametros!$C$6)*Fisico!$F$38:$M$38)</f>
        <v>1</v>
      </c>
      <c r="H48" s="46">
        <f>SUMPRODUCT((Fisico!$F$4:$M$4&lt;Parametros!$C$6)*Fisico!$F$40:$M$40)+SUMPRODUCT((Fisico!$F$4:$M$4=Parametros!$C$6)*Fisico!$F$39:$M$39)</f>
        <v>1</v>
      </c>
      <c r="I48" s="46">
        <f>SUMPRODUCT((Fisico!$F$4:$M$4&lt;=Parametros!$C$6)*Fisico!$F$40:$M$40)+N(Escenarios!C27)</f>
        <v>1</v>
      </c>
      <c r="J48" s="47">
        <f t="shared" si="4"/>
        <v>1</v>
      </c>
      <c r="K48" s="47">
        <f t="shared" si="5"/>
        <v>1</v>
      </c>
      <c r="L48" s="45">
        <f t="shared" si="6"/>
        <v>75000</v>
      </c>
      <c r="M48" s="45">
        <f t="shared" si="7"/>
        <v>101393</v>
      </c>
    </row>
    <row r="49" spans="1:13" x14ac:dyDescent="0.25">
      <c r="A49" s="30">
        <v>13</v>
      </c>
      <c r="B49" s="44" t="str">
        <f>Fisico!B41</f>
        <v>P.2.5. Sistema de información integrado de los CCP, desarrollado e implementado</v>
      </c>
      <c r="C49" s="44" t="str">
        <f>Fisico!D41</f>
        <v>No</v>
      </c>
      <c r="D49" s="45">
        <f>SUMPRODUCT((Financiero!$F$4:$M$4&lt;=Parametros!$C$6)*Financiero!$F$41:$M$41)</f>
        <v>87500</v>
      </c>
      <c r="E49" s="45">
        <f>SUMPRODUCT((Financiero!$F$4:$M$4&lt;Parametros!$C$6)*Financiero!$F$43:$M$43)+SUMPRODUCT((Financiero!$F$4:$M$4=Parametros!$C$6)*Financiero!$F$42:$M$42)</f>
        <v>109170</v>
      </c>
      <c r="F49" s="45">
        <f>SUMPRODUCT((Financiero!$F$4:$M$4&lt;=Parametros!$C$6)*Financiero!$F$43:$M$43)+N(Escenarios!D28)</f>
        <v>99715</v>
      </c>
      <c r="G49" s="46">
        <f>SUMPRODUCT((Fisico!$F$4:$M$4&lt;=Parametros!$C$6)*Fisico!$F$41:$M$41)</f>
        <v>1</v>
      </c>
      <c r="H49" s="46">
        <f>SUMPRODUCT((Fisico!$F$4:$M$4&lt;Parametros!$C$6)*Fisico!$F$43:$M$43)+SUMPRODUCT((Fisico!$F$4:$M$4=Parametros!$C$6)*Fisico!$F$42:$M$42)</f>
        <v>1</v>
      </c>
      <c r="I49" s="46">
        <f>SUMPRODUCT((Fisico!$F$4:$M$4&lt;=Parametros!$C$6)*Fisico!$F$43:$M$43)+N(Escenarios!C28)</f>
        <v>0</v>
      </c>
      <c r="J49" s="47">
        <f t="shared" si="4"/>
        <v>0</v>
      </c>
      <c r="K49" s="47">
        <f t="shared" si="5"/>
        <v>0</v>
      </c>
      <c r="L49" s="45">
        <f t="shared" si="6"/>
        <v>0</v>
      </c>
      <c r="M49" s="45">
        <f t="shared" si="7"/>
        <v>0</v>
      </c>
    </row>
    <row r="50" spans="1:13" x14ac:dyDescent="0.25">
      <c r="A50" s="30">
        <v>14</v>
      </c>
      <c r="B50" s="44" t="str">
        <f>Fisico!B44</f>
        <v>P.2.6. Evaluación de impacto de los CCP diseñada e implementada</v>
      </c>
      <c r="C50" s="44" t="str">
        <f>Fisico!D44</f>
        <v>No</v>
      </c>
      <c r="D50" s="45">
        <f>SUMPRODUCT((Financiero!$F$4:$M$4&lt;=Parametros!$C$6)*Financiero!$F$44:$M$44)</f>
        <v>200000</v>
      </c>
      <c r="E50" s="45">
        <f>SUMPRODUCT((Financiero!$F$4:$M$4&lt;Parametros!$C$6)*Financiero!$F$46:$M$46)+SUMPRODUCT((Financiero!$F$4:$M$4=Parametros!$C$6)*Financiero!$F$45:$M$45)</f>
        <v>102087</v>
      </c>
      <c r="F50" s="45">
        <f>SUMPRODUCT((Financiero!$F$4:$M$4&lt;=Parametros!$C$6)*Financiero!$F$46:$M$46)+N(Escenarios!D29)</f>
        <v>13887.5</v>
      </c>
      <c r="G50" s="46">
        <f>SUMPRODUCT((Fisico!$F$4:$M$4&lt;=Parametros!$C$6)*Fisico!$F$44:$M$44)</f>
        <v>1</v>
      </c>
      <c r="H50" s="46">
        <f>SUMPRODUCT((Fisico!$F$4:$M$4&lt;Parametros!$C$6)*Fisico!$F$46:$M$46)+SUMPRODUCT((Fisico!$F$4:$M$4=Parametros!$C$6)*Fisico!$F$45:$M$45)</f>
        <v>1</v>
      </c>
      <c r="I50" s="46">
        <f>SUMPRODUCT((Fisico!$F$4:$M$4&lt;=Parametros!$C$6)*Fisico!$F$46:$M$46)+N(Escenarios!C29)</f>
        <v>0</v>
      </c>
      <c r="J50" s="47">
        <f t="shared" si="4"/>
        <v>0</v>
      </c>
      <c r="K50" s="47">
        <f t="shared" si="5"/>
        <v>0</v>
      </c>
      <c r="L50" s="45">
        <f t="shared" si="6"/>
        <v>0</v>
      </c>
      <c r="M50" s="45">
        <f t="shared" si="7"/>
        <v>0</v>
      </c>
    </row>
    <row r="51" spans="1:13" x14ac:dyDescent="0.25">
      <c r="A51" s="30">
        <v>15</v>
      </c>
      <c r="B51" s="44" t="str">
        <f>Fisico!B47</f>
        <v>P.2.7. CCP diseñados, construidos, equipados y en funcionamiento</v>
      </c>
      <c r="C51" s="44" t="str">
        <f>Fisico!D47</f>
        <v>Sí</v>
      </c>
      <c r="D51" s="45">
        <f>SUMPRODUCT((Financiero!$F$4:$M$4&lt;=Parametros!$C$6)*Financiero!$F$47:$M$47)</f>
        <v>31595000</v>
      </c>
      <c r="E51" s="45">
        <f>SUMPRODUCT((Financiero!$F$4:$M$4&lt;Parametros!$C$6)*Financiero!$F$49:$M$49)+SUMPRODUCT((Financiero!$F$4:$M$4=Parametros!$C$6)*Financiero!$F$48:$M$48)</f>
        <v>27741937.040000003</v>
      </c>
      <c r="F51" s="45">
        <f>SUMPRODUCT((Financiero!$F$4:$M$4&lt;=Parametros!$C$6)*Financiero!$F$49:$M$49)+N(Escenarios!D30)</f>
        <v>22823823.5</v>
      </c>
      <c r="G51" s="46">
        <f>SUMPRODUCT((Fisico!$F$4:$M$4&lt;=Parametros!$C$6)*Fisico!$F$47:$M$47)</f>
        <v>8</v>
      </c>
      <c r="H51" s="46">
        <f>SUMPRODUCT((Fisico!$F$4:$M$4&lt;Parametros!$C$6)*Fisico!$F$49:$M$49)+SUMPRODUCT((Fisico!$F$4:$M$4=Parametros!$C$6)*Fisico!$F$48:$M$48)</f>
        <v>4</v>
      </c>
      <c r="I51" s="46">
        <f>SUMPRODUCT((Fisico!$F$4:$M$4&lt;=Parametros!$C$6)*Fisico!$F$49:$M$49)+N(Escenarios!C30)</f>
        <v>4</v>
      </c>
      <c r="J51" s="47">
        <f t="shared" si="4"/>
        <v>0.5</v>
      </c>
      <c r="K51" s="47">
        <f t="shared" si="5"/>
        <v>1</v>
      </c>
      <c r="L51" s="45">
        <f t="shared" si="6"/>
        <v>17312500</v>
      </c>
      <c r="M51" s="45">
        <f t="shared" si="7"/>
        <v>17312500</v>
      </c>
    </row>
    <row r="52" spans="1:13" x14ac:dyDescent="0.25">
      <c r="B52" s="20" t="s">
        <v>175</v>
      </c>
      <c r="D52" s="48">
        <f>IF(SUM(D37:D51)=0,F52,SUM(D37:D51))</f>
        <v>95500000</v>
      </c>
      <c r="E52" s="48">
        <f>IF(SUM(E37:E51)=0,F52,SUM(E37:E51))</f>
        <v>84265871.500000015</v>
      </c>
      <c r="F52" s="48">
        <f>SUM(F37:F51)</f>
        <v>73541091.760000005</v>
      </c>
      <c r="L52" s="48">
        <f>IF(SUM(D37:D51)=0,F52,SUM(L37:L51))</f>
        <v>41258690.072857141</v>
      </c>
      <c r="M52" s="48">
        <f>IF(SUM(E37:E51)=0,F52,SUM(M37:M51))</f>
        <v>61941158.666470587</v>
      </c>
    </row>
    <row r="56" spans="1:13" ht="38.25" x14ac:dyDescent="0.25">
      <c r="A56" s="8" t="s">
        <v>79</v>
      </c>
      <c r="B56" s="8" t="s">
        <v>80</v>
      </c>
      <c r="C56" s="8" t="s">
        <v>176</v>
      </c>
      <c r="D56" s="8" t="s">
        <v>177</v>
      </c>
      <c r="E56" s="8" t="s">
        <v>178</v>
      </c>
      <c r="F56" s="8" t="s">
        <v>179</v>
      </c>
      <c r="G56" s="8" t="s">
        <v>180</v>
      </c>
      <c r="H56" s="8" t="s">
        <v>181</v>
      </c>
      <c r="I56" s="8" t="s">
        <v>182</v>
      </c>
    </row>
    <row r="57" spans="1:13" x14ac:dyDescent="0.25">
      <c r="A57" s="34">
        <f>Hitos!A5</f>
        <v>7</v>
      </c>
      <c r="B57" s="44" t="str">
        <f>Hitos!B5</f>
        <v>Delegaciones Policiales diseñadas</v>
      </c>
      <c r="C57" s="30">
        <f>SUMPRODUCT((Hitos!$D$4:$K$4&lt;=Parametros!$C$6)*Hitos!$D$7:$K$7)</f>
        <v>21</v>
      </c>
      <c r="D57" s="30">
        <f>N(Escenarios!C35)</f>
        <v>0</v>
      </c>
      <c r="E57" s="30">
        <f>C57+D57</f>
        <v>21</v>
      </c>
      <c r="F57" s="34">
        <f>Hitos!L5</f>
        <v>35</v>
      </c>
      <c r="G57" s="34">
        <f>Hitos!L6</f>
        <v>21</v>
      </c>
      <c r="H57" s="45">
        <f>IF(F57=0,0,E57/F57*Hitos!M5)</f>
        <v>2904000</v>
      </c>
      <c r="I57" s="45">
        <f>IF(G57=0,0,E57/G57*Hitos!N5)</f>
        <v>4840000</v>
      </c>
    </row>
    <row r="58" spans="1:13" x14ac:dyDescent="0.25">
      <c r="A58" s="34">
        <f>Hitos!A8</f>
        <v>7</v>
      </c>
      <c r="B58" s="44" t="str">
        <f>Hitos!B8</f>
        <v>Delegaciones Policiales construidas, equipadas y operando</v>
      </c>
      <c r="C58" s="30">
        <f>SUMPRODUCT((Hitos!$D$4:$K$4&lt;=Parametros!$C$6)*Hitos!$D$10:$K$10)</f>
        <v>12</v>
      </c>
      <c r="D58" s="30">
        <f>N(Escenarios!C36)</f>
        <v>0</v>
      </c>
      <c r="E58" s="30">
        <f>C58+D58</f>
        <v>12</v>
      </c>
      <c r="F58" s="34">
        <f>Hitos!L8</f>
        <v>35</v>
      </c>
      <c r="G58" s="34">
        <f>Hitos!L9</f>
        <v>17</v>
      </c>
      <c r="H58" s="45">
        <f>IF(F58=0,0,E58/F58*Hitos!M8)</f>
        <v>17826696.342857145</v>
      </c>
      <c r="I58" s="45">
        <f>IF(G58=0,0,E58/G58*Hitos!N8)</f>
        <v>36702021.176470593</v>
      </c>
    </row>
    <row r="59" spans="1:13" x14ac:dyDescent="0.25">
      <c r="A59" s="34">
        <f>Hitos!A11</f>
        <v>15</v>
      </c>
      <c r="B59" s="44" t="str">
        <f>Hitos!B11</f>
        <v>CCPs diseñados</v>
      </c>
      <c r="C59" s="30">
        <f>SUMPRODUCT((Hitos!$D$4:$K$4&lt;=Parametros!$C$6)*Hitos!$D$13:$K$13)</f>
        <v>8</v>
      </c>
      <c r="D59" s="30">
        <f>N(Escenarios!C37)</f>
        <v>0</v>
      </c>
      <c r="E59" s="30">
        <f>C59+D59</f>
        <v>8</v>
      </c>
      <c r="F59" s="34">
        <f>Hitos!L11</f>
        <v>8</v>
      </c>
      <c r="G59" s="34">
        <f>Hitos!L12</f>
        <v>8</v>
      </c>
      <c r="H59" s="45">
        <f>IF(F59=0,0,E59/F59*Hitos!M11)</f>
        <v>2300000</v>
      </c>
      <c r="I59" s="45">
        <f>IF(G59=0,0,E59/G59*Hitos!N11)</f>
        <v>2300000</v>
      </c>
    </row>
    <row r="60" spans="1:13" x14ac:dyDescent="0.25">
      <c r="A60" s="34">
        <f>Hitos!A14</f>
        <v>15</v>
      </c>
      <c r="B60" s="44" t="str">
        <f>Hitos!B14</f>
        <v>CCPs construidos, equipados y en funcionamiento</v>
      </c>
      <c r="C60" s="30">
        <f>SUMPRODUCT((Hitos!$D$4:$K$4&lt;=Parametros!$C$6)*Hitos!$D$16:$K$16)</f>
        <v>4</v>
      </c>
      <c r="D60" s="30">
        <f>N(Escenarios!C38)</f>
        <v>0</v>
      </c>
      <c r="E60" s="30">
        <f>C60+D60</f>
        <v>4</v>
      </c>
      <c r="F60" s="34">
        <f>Hitos!L14</f>
        <v>8</v>
      </c>
      <c r="G60" s="34">
        <f>Hitos!L15</f>
        <v>8</v>
      </c>
      <c r="H60" s="45">
        <f>IF(F60=0,0,E60/F60*Hitos!M14)</f>
        <v>14282500</v>
      </c>
      <c r="I60" s="45">
        <f>IF(G60=0,0,E60/G60*Hitos!N14)</f>
        <v>14282500</v>
      </c>
    </row>
    <row r="61" spans="1:13" x14ac:dyDescent="0.25">
      <c r="A61" s="34">
        <f>Hitos!A17</f>
        <v>15</v>
      </c>
      <c r="B61" s="44" t="str">
        <f>Hitos!B17</f>
        <v>Techados de Skate Parks Garabito y Santa Cruz construidos</v>
      </c>
      <c r="C61" s="30">
        <f>SUMPRODUCT((Hitos!$D$4:$K$4&lt;=Parametros!$C$6)*Hitos!$D$19:$K$19)</f>
        <v>2</v>
      </c>
      <c r="D61" s="30">
        <f>N(Escenarios!C39)</f>
        <v>0</v>
      </c>
      <c r="E61" s="30">
        <f>C61+D61</f>
        <v>2</v>
      </c>
      <c r="F61" s="34">
        <f>Hitos!L17</f>
        <v>2</v>
      </c>
      <c r="G61" s="34">
        <f>Hitos!L18</f>
        <v>2</v>
      </c>
      <c r="H61" s="45">
        <f>IF(F61=0,0,E61/F61*Hitos!M17)</f>
        <v>730000</v>
      </c>
      <c r="I61" s="45">
        <f>IF(G61=0,0,E61/G61*Hitos!N17)</f>
        <v>730000</v>
      </c>
    </row>
    <row r="67" spans="1:13" x14ac:dyDescent="0.25">
      <c r="A67" s="29" t="s">
        <v>184</v>
      </c>
      <c r="C67" s="43" t="str">
        <f>Escenarios!E5</f>
        <v>Entregas DP jul-ago 2026</v>
      </c>
    </row>
    <row r="68" spans="1:13" ht="25.5" x14ac:dyDescent="0.25">
      <c r="A68" s="8" t="s">
        <v>74</v>
      </c>
      <c r="B68" s="8" t="s">
        <v>75</v>
      </c>
      <c r="C68" s="8" t="s">
        <v>164</v>
      </c>
      <c r="D68" s="8" t="s">
        <v>165</v>
      </c>
      <c r="E68" s="8" t="s">
        <v>166</v>
      </c>
      <c r="F68" s="8" t="s">
        <v>167</v>
      </c>
      <c r="G68" s="8" t="s">
        <v>168</v>
      </c>
      <c r="H68" s="8" t="s">
        <v>169</v>
      </c>
      <c r="I68" s="8" t="s">
        <v>170</v>
      </c>
      <c r="J68" s="8" t="s">
        <v>171</v>
      </c>
      <c r="K68" s="8" t="s">
        <v>172</v>
      </c>
      <c r="L68" s="8" t="s">
        <v>173</v>
      </c>
      <c r="M68" s="8" t="s">
        <v>174</v>
      </c>
    </row>
    <row r="69" spans="1:13" x14ac:dyDescent="0.25">
      <c r="A69" s="30">
        <v>1</v>
      </c>
      <c r="B69" s="44" t="str">
        <f>Fisico!B5</f>
        <v>P1.1. Plataformas de datos policiales integradas e interoperables</v>
      </c>
      <c r="C69" s="44" t="str">
        <f>Fisico!D5</f>
        <v>No</v>
      </c>
      <c r="D69" s="45">
        <f>SUMPRODUCT((Financiero!$F$4:$M$4&lt;=Parametros!$C$6)*Financiero!$F$5:$M$5)</f>
        <v>758011</v>
      </c>
      <c r="E69" s="45">
        <f>SUMPRODUCT((Financiero!$F$4:$M$4&lt;Parametros!$C$6)*Financiero!$F$7:$M$7)+SUMPRODUCT((Financiero!$F$4:$M$4=Parametros!$C$6)*Financiero!$F$6:$M$6)</f>
        <v>224656.16</v>
      </c>
      <c r="F69" s="45">
        <f>SUMPRODUCT((Financiero!$F$4:$M$4&lt;=Parametros!$C$6)*Financiero!$F$7:$M$7)+N(Escenarios!F16)</f>
        <v>224656.16</v>
      </c>
      <c r="G69" s="46">
        <f>SUMPRODUCT((Fisico!$F$4:$M$4&lt;=Parametros!$C$6)*Fisico!$F$5:$M$5)</f>
        <v>1</v>
      </c>
      <c r="H69" s="46">
        <f>SUMPRODUCT((Fisico!$F$4:$M$4&lt;Parametros!$C$6)*Fisico!$F$7:$M$7)+SUMPRODUCT((Fisico!$F$4:$M$4=Parametros!$C$6)*Fisico!$F$6:$M$6)</f>
        <v>0</v>
      </c>
      <c r="I69" s="46">
        <f>SUMPRODUCT((Fisico!$F$4:$M$4&lt;=Parametros!$C$6)*Fisico!$F$7:$M$7)+N(Escenarios!E16)</f>
        <v>0</v>
      </c>
      <c r="J69" s="47">
        <f t="shared" ref="J69:J83" si="8">IF(G69=0,"N/A",I69/G69)</f>
        <v>0</v>
      </c>
      <c r="K69" s="47" t="str">
        <f t="shared" ref="K69:K83" si="9">IF(H69=0,"N/A",I69/H69)</f>
        <v>N/A</v>
      </c>
      <c r="L69" s="45">
        <f t="shared" ref="L69:L83" si="10">IF(C69="Sí",SUMIF($A$89:$A$93,A69,$H$89:$H$93),IF(J69="N/A",F69,J69*D69))</f>
        <v>0</v>
      </c>
      <c r="M69" s="45">
        <f t="shared" ref="M69:M83" si="11">IF(C69="Sí",SUMIF($A$89:$A$93,A69,$I$89:$I$93),IF(K69="N/A",F69,K69*E69))</f>
        <v>224656.16</v>
      </c>
    </row>
    <row r="70" spans="1:13" x14ac:dyDescent="0.25">
      <c r="A70" s="30">
        <v>2</v>
      </c>
      <c r="B70" s="44" t="str">
        <f>Fisico!B8</f>
        <v>P1.2. Sistema de información delictual fortalecidos y en funcionamiento</v>
      </c>
      <c r="C70" s="44" t="str">
        <f>Fisico!D8</f>
        <v>No</v>
      </c>
      <c r="D70" s="45">
        <f>SUMPRODUCT((Financiero!$F$4:$M$4&lt;=Parametros!$C$6)*Financiero!$F$8:$M$8)</f>
        <v>3104457</v>
      </c>
      <c r="E70" s="45">
        <f>SUMPRODUCT((Financiero!$F$4:$M$4&lt;Parametros!$C$6)*Financiero!$F$10:$M$10)+SUMPRODUCT((Financiero!$F$4:$M$4=Parametros!$C$6)*Financiero!$F$9:$M$9)</f>
        <v>23360</v>
      </c>
      <c r="F70" s="45">
        <f>SUMPRODUCT((Financiero!$F$4:$M$4&lt;=Parametros!$C$6)*Financiero!$F$10:$M$10)+N(Escenarios!F17)</f>
        <v>23360</v>
      </c>
      <c r="G70" s="46">
        <f>SUMPRODUCT((Fisico!$F$4:$M$4&lt;=Parametros!$C$6)*Fisico!$F$8:$M$8)</f>
        <v>1</v>
      </c>
      <c r="H70" s="46">
        <f>SUMPRODUCT((Fisico!$F$4:$M$4&lt;Parametros!$C$6)*Fisico!$F$10:$M$10)+SUMPRODUCT((Fisico!$F$4:$M$4=Parametros!$C$6)*Fisico!$F$9:$M$9)</f>
        <v>0</v>
      </c>
      <c r="I70" s="46">
        <f>SUMPRODUCT((Fisico!$F$4:$M$4&lt;=Parametros!$C$6)*Fisico!$F$10:$M$10)+N(Escenarios!E17)</f>
        <v>0</v>
      </c>
      <c r="J70" s="47">
        <f t="shared" si="8"/>
        <v>0</v>
      </c>
      <c r="K70" s="47" t="str">
        <f t="shared" si="9"/>
        <v>N/A</v>
      </c>
      <c r="L70" s="45">
        <f t="shared" si="10"/>
        <v>0</v>
      </c>
      <c r="M70" s="45">
        <f t="shared" si="11"/>
        <v>23360</v>
      </c>
    </row>
    <row r="71" spans="1:13" x14ac:dyDescent="0.25">
      <c r="A71" s="30">
        <v>3</v>
      </c>
      <c r="B71" s="44" t="str">
        <f>Fisico!B11</f>
        <v>P.1.3. Departamentos de la FP capacitados en análisis criminal y monitoreo de dinámicas delictivas</v>
      </c>
      <c r="C71" s="44" t="str">
        <f>Fisico!D11</f>
        <v>No</v>
      </c>
      <c r="D71" s="45">
        <f>SUMPRODUCT((Financiero!$F$4:$M$4&lt;=Parametros!$C$6)*Financiero!$F$11:$M$11)</f>
        <v>300000</v>
      </c>
      <c r="E71" s="45">
        <f>SUMPRODUCT((Financiero!$F$4:$M$4&lt;Parametros!$C$6)*Financiero!$F$13:$M$13)+SUMPRODUCT((Financiero!$F$4:$M$4=Parametros!$C$6)*Financiero!$F$12:$M$12)</f>
        <v>140489.60000000001</v>
      </c>
      <c r="F71" s="45">
        <f>SUMPRODUCT((Financiero!$F$4:$M$4&lt;=Parametros!$C$6)*Financiero!$F$13:$M$13)+N(Escenarios!F18)</f>
        <v>140489.60000000001</v>
      </c>
      <c r="G71" s="46">
        <f>SUMPRODUCT((Fisico!$F$4:$M$4&lt;=Parametros!$C$6)*Fisico!$F$11:$M$11)</f>
        <v>16</v>
      </c>
      <c r="H71" s="46">
        <f>SUMPRODUCT((Fisico!$F$4:$M$4&lt;Parametros!$C$6)*Fisico!$F$13:$M$13)+SUMPRODUCT((Fisico!$F$4:$M$4=Parametros!$C$6)*Fisico!$F$12:$M$12)</f>
        <v>29</v>
      </c>
      <c r="I71" s="46">
        <f>SUMPRODUCT((Fisico!$F$4:$M$4&lt;=Parametros!$C$6)*Fisico!$F$13:$M$13)+N(Escenarios!E18)</f>
        <v>29</v>
      </c>
      <c r="J71" s="47">
        <f t="shared" si="8"/>
        <v>1.8125</v>
      </c>
      <c r="K71" s="47">
        <f t="shared" si="9"/>
        <v>1</v>
      </c>
      <c r="L71" s="45">
        <f t="shared" si="10"/>
        <v>543750</v>
      </c>
      <c r="M71" s="45">
        <f t="shared" si="11"/>
        <v>140489.60000000001</v>
      </c>
    </row>
    <row r="72" spans="1:13" x14ac:dyDescent="0.25">
      <c r="A72" s="30">
        <v>4</v>
      </c>
      <c r="B72" s="44" t="str">
        <f>Fisico!B14</f>
        <v>P.1.4. Estrategias policiales basadas en evidencia diseñadas e implementadas</v>
      </c>
      <c r="C72" s="44" t="str">
        <f>Fisico!D14</f>
        <v>No</v>
      </c>
      <c r="D72" s="45">
        <f>SUMPRODUCT((Financiero!$F$4:$M$4&lt;=Parametros!$C$6)*Financiero!$F$14:$M$14)</f>
        <v>1603001</v>
      </c>
      <c r="E72" s="45">
        <f>SUMPRODUCT((Financiero!$F$4:$M$4&lt;Parametros!$C$6)*Financiero!$F$16:$M$16)+SUMPRODUCT((Financiero!$F$4:$M$4=Parametros!$C$6)*Financiero!$F$15:$M$15)</f>
        <v>1399764.2400000002</v>
      </c>
      <c r="F72" s="45">
        <f>SUMPRODUCT((Financiero!$F$4:$M$4&lt;=Parametros!$C$6)*Financiero!$F$16:$M$16)+N(Escenarios!F19)</f>
        <v>835473.63000000012</v>
      </c>
      <c r="G72" s="46">
        <f>SUMPRODUCT((Fisico!$F$4:$M$4&lt;=Parametros!$C$6)*Fisico!$F$14:$M$14)</f>
        <v>1</v>
      </c>
      <c r="H72" s="46">
        <f>SUMPRODUCT((Fisico!$F$4:$M$4&lt;Parametros!$C$6)*Fisico!$F$16:$M$16)+SUMPRODUCT((Fisico!$F$4:$M$4=Parametros!$C$6)*Fisico!$F$15:$M$15)</f>
        <v>1</v>
      </c>
      <c r="I72" s="46">
        <f>SUMPRODUCT((Fisico!$F$4:$M$4&lt;=Parametros!$C$6)*Fisico!$F$16:$M$16)+N(Escenarios!E19)</f>
        <v>0</v>
      </c>
      <c r="J72" s="47">
        <f t="shared" si="8"/>
        <v>0</v>
      </c>
      <c r="K72" s="47">
        <f t="shared" si="9"/>
        <v>0</v>
      </c>
      <c r="L72" s="45">
        <f t="shared" si="10"/>
        <v>0</v>
      </c>
      <c r="M72" s="45">
        <f t="shared" si="11"/>
        <v>0</v>
      </c>
    </row>
    <row r="73" spans="1:13" x14ac:dyDescent="0.25">
      <c r="A73" s="30">
        <v>5</v>
      </c>
      <c r="B73" s="44" t="str">
        <f>Fisico!B17</f>
        <v>P.1.5. Evaluación de impacto de estrategias policiales basadas en evidencia diseñada e implementada</v>
      </c>
      <c r="C73" s="44" t="str">
        <f>Fisico!D17</f>
        <v>No</v>
      </c>
      <c r="D73" s="45">
        <f>SUMPRODUCT((Financiero!$F$4:$M$4&lt;=Parametros!$C$6)*Financiero!$F$17:$M$17)</f>
        <v>150000</v>
      </c>
      <c r="E73" s="45">
        <f>SUMPRODUCT((Financiero!$F$4:$M$4&lt;Parametros!$C$6)*Financiero!$F$19:$M$19)+SUMPRODUCT((Financiero!$F$4:$M$4=Parametros!$C$6)*Financiero!$F$18:$M$18)</f>
        <v>130000</v>
      </c>
      <c r="F73" s="45">
        <f>SUMPRODUCT((Financiero!$F$4:$M$4&lt;=Parametros!$C$6)*Financiero!$F$19:$M$19)+N(Escenarios!F20)</f>
        <v>97637.5</v>
      </c>
      <c r="G73" s="46">
        <f>SUMPRODUCT((Fisico!$F$4:$M$4&lt;=Parametros!$C$6)*Fisico!$F$17:$M$17)</f>
        <v>1</v>
      </c>
      <c r="H73" s="46">
        <f>SUMPRODUCT((Fisico!$F$4:$M$4&lt;Parametros!$C$6)*Fisico!$F$19:$M$19)+SUMPRODUCT((Fisico!$F$4:$M$4=Parametros!$C$6)*Fisico!$F$18:$M$18)</f>
        <v>1</v>
      </c>
      <c r="I73" s="46">
        <f>SUMPRODUCT((Fisico!$F$4:$M$4&lt;=Parametros!$C$6)*Fisico!$F$19:$M$19)+N(Escenarios!E20)</f>
        <v>0</v>
      </c>
      <c r="J73" s="47">
        <f t="shared" si="8"/>
        <v>0</v>
      </c>
      <c r="K73" s="47">
        <f t="shared" si="9"/>
        <v>0</v>
      </c>
      <c r="L73" s="45">
        <f t="shared" si="10"/>
        <v>0</v>
      </c>
      <c r="M73" s="45">
        <f t="shared" si="11"/>
        <v>0</v>
      </c>
    </row>
    <row r="74" spans="1:13" x14ac:dyDescent="0.25">
      <c r="A74" s="30">
        <v>6</v>
      </c>
      <c r="B74" s="44" t="str">
        <f>Fisico!B20</f>
        <v>P.1.6. Sistema de procesamiento de quejas ciudadanas y procesos disciplinarios, fortalecido</v>
      </c>
      <c r="C74" s="44" t="str">
        <f>Fisico!D20</f>
        <v>No</v>
      </c>
      <c r="D74" s="45">
        <f>SUMPRODUCT((Financiero!$F$4:$M$4&lt;=Parametros!$C$6)*Financiero!$F$20:$M$20)</f>
        <v>250000</v>
      </c>
      <c r="E74" s="45">
        <f>SUMPRODUCT((Financiero!$F$4:$M$4&lt;Parametros!$C$6)*Financiero!$F$22:$M$22)+SUMPRODUCT((Financiero!$F$4:$M$4=Parametros!$C$6)*Financiero!$F$21:$M$21)</f>
        <v>365000</v>
      </c>
      <c r="F74" s="45">
        <f>SUMPRODUCT((Financiero!$F$4:$M$4&lt;=Parametros!$C$6)*Financiero!$F$22:$M$22)+N(Escenarios!F21)</f>
        <v>277246.95</v>
      </c>
      <c r="G74" s="46">
        <f>SUMPRODUCT((Fisico!$F$4:$M$4&lt;=Parametros!$C$6)*Fisico!$F$20:$M$20)</f>
        <v>1</v>
      </c>
      <c r="H74" s="46">
        <f>SUMPRODUCT((Fisico!$F$4:$M$4&lt;Parametros!$C$6)*Fisico!$F$22:$M$22)+SUMPRODUCT((Fisico!$F$4:$M$4=Parametros!$C$6)*Fisico!$F$21:$M$21)</f>
        <v>1</v>
      </c>
      <c r="I74" s="46">
        <f>SUMPRODUCT((Fisico!$F$4:$M$4&lt;=Parametros!$C$6)*Fisico!$F$22:$M$22)+N(Escenarios!E21)</f>
        <v>0</v>
      </c>
      <c r="J74" s="47">
        <f t="shared" si="8"/>
        <v>0</v>
      </c>
      <c r="K74" s="47">
        <f t="shared" si="9"/>
        <v>0</v>
      </c>
      <c r="L74" s="45">
        <f t="shared" si="10"/>
        <v>0</v>
      </c>
      <c r="M74" s="45">
        <f t="shared" si="11"/>
        <v>0</v>
      </c>
    </row>
    <row r="75" spans="1:13" x14ac:dyDescent="0.25">
      <c r="A75" s="30">
        <v>7</v>
      </c>
      <c r="B75" s="44" t="str">
        <f>Fisico!B23</f>
        <v>P.1.7. Delegaciones diseñadas, construida, equipadas y operando bajo el enfoque de policía comunitaria</v>
      </c>
      <c r="C75" s="44" t="str">
        <f>Fisico!D23</f>
        <v>Sí</v>
      </c>
      <c r="D75" s="45">
        <f>SUMPRODUCT((Financiero!$F$4:$M$4&lt;=Parametros!$C$6)*Financiero!$F$23:$M$23)</f>
        <v>56834531</v>
      </c>
      <c r="E75" s="45">
        <f>SUMPRODUCT((Financiero!$F$4:$M$4&lt;Parametros!$C$6)*Financiero!$F$25:$M$25)+SUMPRODUCT((Financiero!$F$4:$M$4=Parametros!$C$6)*Financiero!$F$24:$M$24)</f>
        <v>50172908.210000008</v>
      </c>
      <c r="F75" s="45">
        <f>SUMPRODUCT((Financiero!$F$4:$M$4&lt;=Parametros!$C$6)*Financiero!$F$25:$M$25)+N(Escenarios!F22)</f>
        <v>50172908.210000001</v>
      </c>
      <c r="G75" s="46">
        <f>SUMPRODUCT((Fisico!$F$4:$M$4&lt;=Parametros!$C$6)*Fisico!$F$23:$M$23)</f>
        <v>35</v>
      </c>
      <c r="H75" s="46">
        <f>SUMPRODUCT((Fisico!$F$4:$M$4&lt;Parametros!$C$6)*Fisico!$F$25:$M$25)+SUMPRODUCT((Fisico!$F$4:$M$4=Parametros!$C$6)*Fisico!$F$24:$M$24)</f>
        <v>11</v>
      </c>
      <c r="I75" s="46">
        <f>SUMPRODUCT((Fisico!$F$4:$M$4&lt;=Parametros!$C$6)*Fisico!$F$25:$M$25)+N(Escenarios!E22)</f>
        <v>18</v>
      </c>
      <c r="J75" s="47">
        <f t="shared" si="8"/>
        <v>0.51428571428571423</v>
      </c>
      <c r="K75" s="47">
        <f t="shared" si="9"/>
        <v>1.6363636363636365</v>
      </c>
      <c r="L75" s="45">
        <f t="shared" si="10"/>
        <v>25187370.428571429</v>
      </c>
      <c r="M75" s="45">
        <f t="shared" si="11"/>
        <v>50717526.470588237</v>
      </c>
    </row>
    <row r="76" spans="1:13" x14ac:dyDescent="0.25">
      <c r="A76" s="30">
        <v>8</v>
      </c>
      <c r="B76" s="44" t="str">
        <f>Fisico!B26</f>
        <v>Centro de Mando y Control Policial (CMCP) diseñado, construido, equipado y en funcionamiento</v>
      </c>
      <c r="C76" s="44" t="str">
        <f>Fisico!D26</f>
        <v>No</v>
      </c>
      <c r="D76" s="45">
        <f>SUMPRODUCT((Financiero!$F$4:$M$4&lt;=Parametros!$C$6)*Financiero!$F$26:$M$26)</f>
        <v>0</v>
      </c>
      <c r="E76" s="45">
        <f>SUMPRODUCT((Financiero!$F$4:$M$4&lt;Parametros!$C$6)*Financiero!$F$28:$M$28)+SUMPRODUCT((Financiero!$F$4:$M$4=Parametros!$C$6)*Financiero!$F$27:$M$27)</f>
        <v>3162756.25</v>
      </c>
      <c r="F76" s="45">
        <f>SUMPRODUCT((Financiero!$F$4:$M$4&lt;=Parametros!$C$6)*Financiero!$F$28:$M$28)+N(Escenarios!F23)</f>
        <v>2499243.73</v>
      </c>
      <c r="G76" s="46">
        <f>SUMPRODUCT((Fisico!$F$4:$M$4&lt;=Parametros!$C$6)*Fisico!$F$26:$M$26)</f>
        <v>0</v>
      </c>
      <c r="H76" s="46">
        <f>SUMPRODUCT((Fisico!$F$4:$M$4&lt;Parametros!$C$6)*Fisico!$F$28:$M$28)+SUMPRODUCT((Fisico!$F$4:$M$4=Parametros!$C$6)*Fisico!$F$27:$M$27)</f>
        <v>0</v>
      </c>
      <c r="I76" s="46">
        <f>SUMPRODUCT((Fisico!$F$4:$M$4&lt;=Parametros!$C$6)*Fisico!$F$28:$M$28)+N(Escenarios!E23)</f>
        <v>0</v>
      </c>
      <c r="J76" s="47" t="str">
        <f t="shared" si="8"/>
        <v>N/A</v>
      </c>
      <c r="K76" s="47" t="str">
        <f t="shared" si="9"/>
        <v>N/A</v>
      </c>
      <c r="L76" s="45">
        <f t="shared" si="10"/>
        <v>2499243.73</v>
      </c>
      <c r="M76" s="45">
        <f t="shared" si="11"/>
        <v>2499243.73</v>
      </c>
    </row>
    <row r="77" spans="1:13" x14ac:dyDescent="0.25">
      <c r="A77" s="30">
        <v>9</v>
      </c>
      <c r="B77" s="44" t="str">
        <f>Fisico!B29</f>
        <v>P.2.1. Modelo de atención de los CCP actualizado, fortalecido, y en funcionamiento en los CCPs de la red</v>
      </c>
      <c r="C77" s="44" t="str">
        <f>Fisico!D29</f>
        <v>No</v>
      </c>
      <c r="D77" s="45">
        <f>SUMPRODUCT((Financiero!$F$4:$M$4&lt;=Parametros!$C$6)*Financiero!$F$29:$M$29)</f>
        <v>300000</v>
      </c>
      <c r="E77" s="45">
        <f>SUMPRODUCT((Financiero!$F$4:$M$4&lt;Parametros!$C$6)*Financiero!$F$31:$M$31)+SUMPRODUCT((Financiero!$F$4:$M$4=Parametros!$C$6)*Financiero!$F$30:$M$30)</f>
        <v>353000</v>
      </c>
      <c r="F77" s="45">
        <f>SUMPRODUCT((Financiero!$F$4:$M$4&lt;=Parametros!$C$6)*Financiero!$F$31:$M$31)+N(Escenarios!F24)</f>
        <v>179915.1</v>
      </c>
      <c r="G77" s="46">
        <f>SUMPRODUCT((Fisico!$F$4:$M$4&lt;=Parametros!$C$6)*Fisico!$F$29:$M$29)</f>
        <v>1</v>
      </c>
      <c r="H77" s="46">
        <f>SUMPRODUCT((Fisico!$F$4:$M$4&lt;Parametros!$C$6)*Fisico!$F$31:$M$31)+SUMPRODUCT((Fisico!$F$4:$M$4=Parametros!$C$6)*Fisico!$F$30:$M$30)</f>
        <v>1</v>
      </c>
      <c r="I77" s="46">
        <f>SUMPRODUCT((Fisico!$F$4:$M$4&lt;=Parametros!$C$6)*Fisico!$F$31:$M$31)+N(Escenarios!E24)</f>
        <v>0</v>
      </c>
      <c r="J77" s="47">
        <f t="shared" si="8"/>
        <v>0</v>
      </c>
      <c r="K77" s="47">
        <f t="shared" si="9"/>
        <v>0</v>
      </c>
      <c r="L77" s="45">
        <f t="shared" si="10"/>
        <v>0</v>
      </c>
      <c r="M77" s="45">
        <f t="shared" si="11"/>
        <v>0</v>
      </c>
    </row>
    <row r="78" spans="1:13" x14ac:dyDescent="0.25">
      <c r="A78" s="30">
        <v>10</v>
      </c>
      <c r="B78" s="44" t="str">
        <f>Fisico!B32</f>
        <v>P.2.2. Modelo de gestión de los CCP homologado, fortalecido y en funcionamiento en los CCPs de la red</v>
      </c>
      <c r="C78" s="44" t="str">
        <f>Fisico!D32</f>
        <v>No</v>
      </c>
      <c r="D78" s="45">
        <f>SUMPRODUCT((Financiero!$F$4:$M$4&lt;=Parametros!$C$6)*Financiero!$F$32:$M$32)</f>
        <v>145000</v>
      </c>
      <c r="E78" s="45">
        <f>SUMPRODUCT((Financiero!$F$4:$M$4&lt;Parametros!$C$6)*Financiero!$F$34:$M$34)+SUMPRODUCT((Financiero!$F$4:$M$4=Parametros!$C$6)*Financiero!$F$33:$M$33)</f>
        <v>141855</v>
      </c>
      <c r="F78" s="45">
        <f>SUMPRODUCT((Financiero!$F$4:$M$4&lt;=Parametros!$C$6)*Financiero!$F$34:$M$34)+N(Escenarios!F25)</f>
        <v>0</v>
      </c>
      <c r="G78" s="46">
        <f>SUMPRODUCT((Fisico!$F$4:$M$4&lt;=Parametros!$C$6)*Fisico!$F$32:$M$32)</f>
        <v>1</v>
      </c>
      <c r="H78" s="46">
        <f>SUMPRODUCT((Fisico!$F$4:$M$4&lt;Parametros!$C$6)*Fisico!$F$34:$M$34)+SUMPRODUCT((Fisico!$F$4:$M$4=Parametros!$C$6)*Fisico!$F$33:$M$33)</f>
        <v>1</v>
      </c>
      <c r="I78" s="46">
        <f>SUMPRODUCT((Fisico!$F$4:$M$4&lt;=Parametros!$C$6)*Fisico!$F$34:$M$34)+N(Escenarios!E25)</f>
        <v>0</v>
      </c>
      <c r="J78" s="47">
        <f t="shared" si="8"/>
        <v>0</v>
      </c>
      <c r="K78" s="47">
        <f t="shared" si="9"/>
        <v>0</v>
      </c>
      <c r="L78" s="45">
        <f t="shared" si="10"/>
        <v>0</v>
      </c>
      <c r="M78" s="45">
        <f t="shared" si="11"/>
        <v>0</v>
      </c>
    </row>
    <row r="79" spans="1:13" x14ac:dyDescent="0.25">
      <c r="A79" s="30">
        <v>11</v>
      </c>
      <c r="B79" s="44" t="str">
        <f>Fisico!B35</f>
        <v>P.2.3. Municipalidades y grupos de sociedad civil capacitados y utilizando las nuevas competencias adquiridas en prevención de violencia</v>
      </c>
      <c r="C79" s="44" t="str">
        <f>Fisico!D35</f>
        <v>No</v>
      </c>
      <c r="D79" s="45">
        <f>SUMPRODUCT((Financiero!$F$4:$M$4&lt;=Parametros!$C$6)*Financiero!$F$35:$M$35)</f>
        <v>97500</v>
      </c>
      <c r="E79" s="45">
        <f>SUMPRODUCT((Financiero!$F$4:$M$4&lt;Parametros!$C$6)*Financiero!$F$37:$M$37)+SUMPRODUCT((Financiero!$F$4:$M$4=Parametros!$C$6)*Financiero!$F$36:$M$36)</f>
        <v>97495</v>
      </c>
      <c r="F79" s="45">
        <f>SUMPRODUCT((Financiero!$F$4:$M$4&lt;=Parametros!$C$6)*Financiero!$F$37:$M$37)+N(Escenarios!F26)</f>
        <v>81046.84</v>
      </c>
      <c r="G79" s="46">
        <f>SUMPRODUCT((Fisico!$F$4:$M$4&lt;=Parametros!$C$6)*Fisico!$F$35:$M$35)</f>
        <v>15</v>
      </c>
      <c r="H79" s="46">
        <f>SUMPRODUCT((Fisico!$F$4:$M$4&lt;Parametros!$C$6)*Fisico!$F$37:$M$37)+SUMPRODUCT((Fisico!$F$4:$M$4=Parametros!$C$6)*Fisico!$F$36:$M$36)</f>
        <v>15</v>
      </c>
      <c r="I79" s="46">
        <f>SUMPRODUCT((Fisico!$F$4:$M$4&lt;=Parametros!$C$6)*Fisico!$F$37:$M$37)+N(Escenarios!E26)</f>
        <v>15</v>
      </c>
      <c r="J79" s="47">
        <f t="shared" si="8"/>
        <v>1</v>
      </c>
      <c r="K79" s="47">
        <f t="shared" si="9"/>
        <v>1</v>
      </c>
      <c r="L79" s="45">
        <f t="shared" si="10"/>
        <v>97500</v>
      </c>
      <c r="M79" s="45">
        <f t="shared" si="11"/>
        <v>97495</v>
      </c>
    </row>
    <row r="80" spans="1:13" x14ac:dyDescent="0.25">
      <c r="A80" s="30">
        <v>12</v>
      </c>
      <c r="B80" s="44" t="str">
        <f>Fisico!B38</f>
        <v>P.2.4. Estrategia de comunicación social de los CCP, diseñada e implementada</v>
      </c>
      <c r="C80" s="44" t="str">
        <f>Fisico!D38</f>
        <v>No</v>
      </c>
      <c r="D80" s="45">
        <f>SUMPRODUCT((Financiero!$F$4:$M$4&lt;=Parametros!$C$6)*Financiero!$F$38:$M$38)</f>
        <v>75000</v>
      </c>
      <c r="E80" s="45">
        <f>SUMPRODUCT((Financiero!$F$4:$M$4&lt;Parametros!$C$6)*Financiero!$F$40:$M$40)+SUMPRODUCT((Financiero!$F$4:$M$4=Parametros!$C$6)*Financiero!$F$39:$M$39)</f>
        <v>101393</v>
      </c>
      <c r="F80" s="45">
        <f>SUMPRODUCT((Financiero!$F$4:$M$4&lt;=Parametros!$C$6)*Financiero!$F$40:$M$40)+N(Escenarios!F27)</f>
        <v>46180</v>
      </c>
      <c r="G80" s="46">
        <f>SUMPRODUCT((Fisico!$F$4:$M$4&lt;=Parametros!$C$6)*Fisico!$F$38:$M$38)</f>
        <v>1</v>
      </c>
      <c r="H80" s="46">
        <f>SUMPRODUCT((Fisico!$F$4:$M$4&lt;Parametros!$C$6)*Fisico!$F$40:$M$40)+SUMPRODUCT((Fisico!$F$4:$M$4=Parametros!$C$6)*Fisico!$F$39:$M$39)</f>
        <v>1</v>
      </c>
      <c r="I80" s="46">
        <f>SUMPRODUCT((Fisico!$F$4:$M$4&lt;=Parametros!$C$6)*Fisico!$F$40:$M$40)+N(Escenarios!E27)</f>
        <v>1</v>
      </c>
      <c r="J80" s="47">
        <f t="shared" si="8"/>
        <v>1</v>
      </c>
      <c r="K80" s="47">
        <f t="shared" si="9"/>
        <v>1</v>
      </c>
      <c r="L80" s="45">
        <f t="shared" si="10"/>
        <v>75000</v>
      </c>
      <c r="M80" s="45">
        <f t="shared" si="11"/>
        <v>101393</v>
      </c>
    </row>
    <row r="81" spans="1:13" x14ac:dyDescent="0.25">
      <c r="A81" s="30">
        <v>13</v>
      </c>
      <c r="B81" s="44" t="str">
        <f>Fisico!B41</f>
        <v>P.2.5. Sistema de información integrado de los CCP, desarrollado e implementado</v>
      </c>
      <c r="C81" s="44" t="str">
        <f>Fisico!D41</f>
        <v>No</v>
      </c>
      <c r="D81" s="45">
        <f>SUMPRODUCT((Financiero!$F$4:$M$4&lt;=Parametros!$C$6)*Financiero!$F$41:$M$41)</f>
        <v>87500</v>
      </c>
      <c r="E81" s="45">
        <f>SUMPRODUCT((Financiero!$F$4:$M$4&lt;Parametros!$C$6)*Financiero!$F$43:$M$43)+SUMPRODUCT((Financiero!$F$4:$M$4=Parametros!$C$6)*Financiero!$F$42:$M$42)</f>
        <v>109170</v>
      </c>
      <c r="F81" s="45">
        <f>SUMPRODUCT((Financiero!$F$4:$M$4&lt;=Parametros!$C$6)*Financiero!$F$43:$M$43)+N(Escenarios!F28)</f>
        <v>99715</v>
      </c>
      <c r="G81" s="46">
        <f>SUMPRODUCT((Fisico!$F$4:$M$4&lt;=Parametros!$C$6)*Fisico!$F$41:$M$41)</f>
        <v>1</v>
      </c>
      <c r="H81" s="46">
        <f>SUMPRODUCT((Fisico!$F$4:$M$4&lt;Parametros!$C$6)*Fisico!$F$43:$M$43)+SUMPRODUCT((Fisico!$F$4:$M$4=Parametros!$C$6)*Fisico!$F$42:$M$42)</f>
        <v>1</v>
      </c>
      <c r="I81" s="46">
        <f>SUMPRODUCT((Fisico!$F$4:$M$4&lt;=Parametros!$C$6)*Fisico!$F$43:$M$43)+N(Escenarios!E28)</f>
        <v>0</v>
      </c>
      <c r="J81" s="47">
        <f t="shared" si="8"/>
        <v>0</v>
      </c>
      <c r="K81" s="47">
        <f t="shared" si="9"/>
        <v>0</v>
      </c>
      <c r="L81" s="45">
        <f t="shared" si="10"/>
        <v>0</v>
      </c>
      <c r="M81" s="45">
        <f t="shared" si="11"/>
        <v>0</v>
      </c>
    </row>
    <row r="82" spans="1:13" x14ac:dyDescent="0.25">
      <c r="A82" s="30">
        <v>14</v>
      </c>
      <c r="B82" s="44" t="str">
        <f>Fisico!B44</f>
        <v>P.2.6. Evaluación de impacto de los CCP diseñada e implementada</v>
      </c>
      <c r="C82" s="44" t="str">
        <f>Fisico!D44</f>
        <v>No</v>
      </c>
      <c r="D82" s="45">
        <f>SUMPRODUCT((Financiero!$F$4:$M$4&lt;=Parametros!$C$6)*Financiero!$F$44:$M$44)</f>
        <v>200000</v>
      </c>
      <c r="E82" s="45">
        <f>SUMPRODUCT((Financiero!$F$4:$M$4&lt;Parametros!$C$6)*Financiero!$F$46:$M$46)+SUMPRODUCT((Financiero!$F$4:$M$4=Parametros!$C$6)*Financiero!$F$45:$M$45)</f>
        <v>102087</v>
      </c>
      <c r="F82" s="45">
        <f>SUMPRODUCT((Financiero!$F$4:$M$4&lt;=Parametros!$C$6)*Financiero!$F$46:$M$46)+N(Escenarios!F29)</f>
        <v>13887.5</v>
      </c>
      <c r="G82" s="46">
        <f>SUMPRODUCT((Fisico!$F$4:$M$4&lt;=Parametros!$C$6)*Fisico!$F$44:$M$44)</f>
        <v>1</v>
      </c>
      <c r="H82" s="46">
        <f>SUMPRODUCT((Fisico!$F$4:$M$4&lt;Parametros!$C$6)*Fisico!$F$46:$M$46)+SUMPRODUCT((Fisico!$F$4:$M$4=Parametros!$C$6)*Fisico!$F$45:$M$45)</f>
        <v>1</v>
      </c>
      <c r="I82" s="46">
        <f>SUMPRODUCT((Fisico!$F$4:$M$4&lt;=Parametros!$C$6)*Fisico!$F$46:$M$46)+N(Escenarios!E29)</f>
        <v>0</v>
      </c>
      <c r="J82" s="47">
        <f t="shared" si="8"/>
        <v>0</v>
      </c>
      <c r="K82" s="47">
        <f t="shared" si="9"/>
        <v>0</v>
      </c>
      <c r="L82" s="45">
        <f t="shared" si="10"/>
        <v>0</v>
      </c>
      <c r="M82" s="45">
        <f t="shared" si="11"/>
        <v>0</v>
      </c>
    </row>
    <row r="83" spans="1:13" x14ac:dyDescent="0.25">
      <c r="A83" s="30">
        <v>15</v>
      </c>
      <c r="B83" s="44" t="str">
        <f>Fisico!B47</f>
        <v>P.2.7. CCP diseñados, construidos, equipados y en funcionamiento</v>
      </c>
      <c r="C83" s="44" t="str">
        <f>Fisico!D47</f>
        <v>Sí</v>
      </c>
      <c r="D83" s="45">
        <f>SUMPRODUCT((Financiero!$F$4:$M$4&lt;=Parametros!$C$6)*Financiero!$F$47:$M$47)</f>
        <v>31595000</v>
      </c>
      <c r="E83" s="45">
        <f>SUMPRODUCT((Financiero!$F$4:$M$4&lt;Parametros!$C$6)*Financiero!$F$49:$M$49)+SUMPRODUCT((Financiero!$F$4:$M$4=Parametros!$C$6)*Financiero!$F$48:$M$48)</f>
        <v>27741937.040000003</v>
      </c>
      <c r="F83" s="45">
        <f>SUMPRODUCT((Financiero!$F$4:$M$4&lt;=Parametros!$C$6)*Financiero!$F$49:$M$49)+N(Escenarios!F30)</f>
        <v>22823823.5</v>
      </c>
      <c r="G83" s="46">
        <f>SUMPRODUCT((Fisico!$F$4:$M$4&lt;=Parametros!$C$6)*Fisico!$F$47:$M$47)</f>
        <v>8</v>
      </c>
      <c r="H83" s="46">
        <f>SUMPRODUCT((Fisico!$F$4:$M$4&lt;Parametros!$C$6)*Fisico!$F$49:$M$49)+SUMPRODUCT((Fisico!$F$4:$M$4=Parametros!$C$6)*Fisico!$F$48:$M$48)</f>
        <v>4</v>
      </c>
      <c r="I83" s="46">
        <f>SUMPRODUCT((Fisico!$F$4:$M$4&lt;=Parametros!$C$6)*Fisico!$F$49:$M$49)+N(Escenarios!E30)</f>
        <v>4</v>
      </c>
      <c r="J83" s="47">
        <f t="shared" si="8"/>
        <v>0.5</v>
      </c>
      <c r="K83" s="47">
        <f t="shared" si="9"/>
        <v>1</v>
      </c>
      <c r="L83" s="45">
        <f t="shared" si="10"/>
        <v>17312500</v>
      </c>
      <c r="M83" s="45">
        <f t="shared" si="11"/>
        <v>17312500</v>
      </c>
    </row>
    <row r="84" spans="1:13" x14ac:dyDescent="0.25">
      <c r="B84" s="20" t="s">
        <v>175</v>
      </c>
      <c r="D84" s="48">
        <f>IF(SUM(D69:D83)=0,F84,SUM(D69:D83))</f>
        <v>95500000</v>
      </c>
      <c r="E84" s="48">
        <f>IF(SUM(E69:E83)=0,F84,SUM(E69:E83))</f>
        <v>84265871.500000015</v>
      </c>
      <c r="F84" s="48">
        <f>SUM(F69:F83)</f>
        <v>77515583.719999999</v>
      </c>
      <c r="L84" s="48">
        <f>IF(SUM(D69:D83)=0,F84,SUM(L69:L83))</f>
        <v>45715364.15857143</v>
      </c>
      <c r="M84" s="48">
        <f>IF(SUM(E69:E83)=0,F84,SUM(M69:M83))</f>
        <v>71116663.960588232</v>
      </c>
    </row>
    <row r="88" spans="1:13" ht="38.25" x14ac:dyDescent="0.25">
      <c r="A88" s="8" t="s">
        <v>79</v>
      </c>
      <c r="B88" s="8" t="s">
        <v>80</v>
      </c>
      <c r="C88" s="8" t="s">
        <v>176</v>
      </c>
      <c r="D88" s="8" t="s">
        <v>177</v>
      </c>
      <c r="E88" s="8" t="s">
        <v>178</v>
      </c>
      <c r="F88" s="8" t="s">
        <v>179</v>
      </c>
      <c r="G88" s="8" t="s">
        <v>180</v>
      </c>
      <c r="H88" s="8" t="s">
        <v>181</v>
      </c>
      <c r="I88" s="8" t="s">
        <v>182</v>
      </c>
    </row>
    <row r="89" spans="1:13" x14ac:dyDescent="0.25">
      <c r="A89" s="34">
        <f>Hitos!A5</f>
        <v>7</v>
      </c>
      <c r="B89" s="44" t="str">
        <f>Hitos!B5</f>
        <v>Delegaciones Policiales diseñadas</v>
      </c>
      <c r="C89" s="30">
        <f>SUMPRODUCT((Hitos!$D$4:$K$4&lt;=Parametros!$C$6)*Hitos!$D$7:$K$7)</f>
        <v>21</v>
      </c>
      <c r="D89" s="30">
        <f>N(Escenarios!D35)</f>
        <v>0</v>
      </c>
      <c r="E89" s="30">
        <f>C89+D89</f>
        <v>21</v>
      </c>
      <c r="F89" s="34">
        <f>Hitos!L5</f>
        <v>35</v>
      </c>
      <c r="G89" s="34">
        <f>Hitos!L6</f>
        <v>21</v>
      </c>
      <c r="H89" s="45">
        <f>IF(F89=0,0,E89/F89*Hitos!M5)</f>
        <v>2904000</v>
      </c>
      <c r="I89" s="45">
        <f>IF(G89=0,0,E89/G89*Hitos!N5)</f>
        <v>4840000</v>
      </c>
    </row>
    <row r="90" spans="1:13" x14ac:dyDescent="0.25">
      <c r="A90" s="34">
        <f>Hitos!A8</f>
        <v>7</v>
      </c>
      <c r="B90" s="44" t="str">
        <f>Hitos!B8</f>
        <v>Delegaciones Policiales construidas, equipadas y operando</v>
      </c>
      <c r="C90" s="30">
        <f>SUMPRODUCT((Hitos!$D$4:$K$4&lt;=Parametros!$C$6)*Hitos!$D$10:$K$10)</f>
        <v>12</v>
      </c>
      <c r="D90" s="30">
        <f>N(Escenarios!D36)</f>
        <v>3</v>
      </c>
      <c r="E90" s="30">
        <f>C90+D90</f>
        <v>15</v>
      </c>
      <c r="F90" s="34">
        <f>Hitos!L8</f>
        <v>35</v>
      </c>
      <c r="G90" s="34">
        <f>Hitos!L9</f>
        <v>17</v>
      </c>
      <c r="H90" s="45">
        <f>IF(F90=0,0,E90/F90*Hitos!M8)</f>
        <v>22283370.428571429</v>
      </c>
      <c r="I90" s="45">
        <f>IF(G90=0,0,E90/G90*Hitos!N8)</f>
        <v>45877526.470588237</v>
      </c>
    </row>
    <row r="91" spans="1:13" x14ac:dyDescent="0.25">
      <c r="A91" s="34">
        <f>Hitos!A11</f>
        <v>15</v>
      </c>
      <c r="B91" s="44" t="str">
        <f>Hitos!B11</f>
        <v>CCPs diseñados</v>
      </c>
      <c r="C91" s="30">
        <f>SUMPRODUCT((Hitos!$D$4:$K$4&lt;=Parametros!$C$6)*Hitos!$D$13:$K$13)</f>
        <v>8</v>
      </c>
      <c r="D91" s="30">
        <f>N(Escenarios!D37)</f>
        <v>0</v>
      </c>
      <c r="E91" s="30">
        <f>C91+D91</f>
        <v>8</v>
      </c>
      <c r="F91" s="34">
        <f>Hitos!L11</f>
        <v>8</v>
      </c>
      <c r="G91" s="34">
        <f>Hitos!L12</f>
        <v>8</v>
      </c>
      <c r="H91" s="45">
        <f>IF(F91=0,0,E91/F91*Hitos!M11)</f>
        <v>2300000</v>
      </c>
      <c r="I91" s="45">
        <f>IF(G91=0,0,E91/G91*Hitos!N11)</f>
        <v>2300000</v>
      </c>
    </row>
    <row r="92" spans="1:13" x14ac:dyDescent="0.25">
      <c r="A92" s="34">
        <f>Hitos!A14</f>
        <v>15</v>
      </c>
      <c r="B92" s="44" t="str">
        <f>Hitos!B14</f>
        <v>CCPs construidos, equipados y en funcionamiento</v>
      </c>
      <c r="C92" s="30">
        <f>SUMPRODUCT((Hitos!$D$4:$K$4&lt;=Parametros!$C$6)*Hitos!$D$16:$K$16)</f>
        <v>4</v>
      </c>
      <c r="D92" s="30">
        <f>N(Escenarios!D38)</f>
        <v>0</v>
      </c>
      <c r="E92" s="30">
        <f>C92+D92</f>
        <v>4</v>
      </c>
      <c r="F92" s="34">
        <f>Hitos!L14</f>
        <v>8</v>
      </c>
      <c r="G92" s="34">
        <f>Hitos!L15</f>
        <v>8</v>
      </c>
      <c r="H92" s="45">
        <f>IF(F92=0,0,E92/F92*Hitos!M14)</f>
        <v>14282500</v>
      </c>
      <c r="I92" s="45">
        <f>IF(G92=0,0,E92/G92*Hitos!N14)</f>
        <v>14282500</v>
      </c>
    </row>
    <row r="93" spans="1:13" x14ac:dyDescent="0.25">
      <c r="A93" s="34">
        <f>Hitos!A17</f>
        <v>15</v>
      </c>
      <c r="B93" s="44" t="str">
        <f>Hitos!B17</f>
        <v>Techados de Skate Parks Garabito y Santa Cruz construidos</v>
      </c>
      <c r="C93" s="30">
        <f>SUMPRODUCT((Hitos!$D$4:$K$4&lt;=Parametros!$C$6)*Hitos!$D$19:$K$19)</f>
        <v>2</v>
      </c>
      <c r="D93" s="30">
        <f>N(Escenarios!D39)</f>
        <v>0</v>
      </c>
      <c r="E93" s="30">
        <f>C93+D93</f>
        <v>2</v>
      </c>
      <c r="F93" s="34">
        <f>Hitos!L17</f>
        <v>2</v>
      </c>
      <c r="G93" s="34">
        <f>Hitos!L18</f>
        <v>2</v>
      </c>
      <c r="H93" s="45">
        <f>IF(F93=0,0,E93/F93*Hitos!M17)</f>
        <v>730000</v>
      </c>
      <c r="I93" s="45">
        <f>IF(G93=0,0,E93/G93*Hitos!N17)</f>
        <v>730000</v>
      </c>
    </row>
    <row r="99" spans="1:13" x14ac:dyDescent="0.25">
      <c r="A99" s="29" t="s">
        <v>185</v>
      </c>
      <c r="C99" s="43" t="str">
        <f>Escenarios!F5</f>
        <v>Gasto sin avance físico</v>
      </c>
    </row>
    <row r="100" spans="1:13" ht="25.5" x14ac:dyDescent="0.25">
      <c r="A100" s="8" t="s">
        <v>74</v>
      </c>
      <c r="B100" s="8" t="s">
        <v>75</v>
      </c>
      <c r="C100" s="8" t="s">
        <v>164</v>
      </c>
      <c r="D100" s="8" t="s">
        <v>165</v>
      </c>
      <c r="E100" s="8" t="s">
        <v>166</v>
      </c>
      <c r="F100" s="8" t="s">
        <v>167</v>
      </c>
      <c r="G100" s="8" t="s">
        <v>168</v>
      </c>
      <c r="H100" s="8" t="s">
        <v>169</v>
      </c>
      <c r="I100" s="8" t="s">
        <v>170</v>
      </c>
      <c r="J100" s="8" t="s">
        <v>171</v>
      </c>
      <c r="K100" s="8" t="s">
        <v>172</v>
      </c>
      <c r="L100" s="8" t="s">
        <v>173</v>
      </c>
      <c r="M100" s="8" t="s">
        <v>174</v>
      </c>
    </row>
    <row r="101" spans="1:13" x14ac:dyDescent="0.25">
      <c r="A101" s="30">
        <v>1</v>
      </c>
      <c r="B101" s="44" t="str">
        <f>Fisico!B5</f>
        <v>P1.1. Plataformas de datos policiales integradas e interoperables</v>
      </c>
      <c r="C101" s="44" t="str">
        <f>Fisico!D5</f>
        <v>No</v>
      </c>
      <c r="D101" s="45">
        <f>SUMPRODUCT((Financiero!$F$4:$M$4&lt;=Parametros!$C$6)*Financiero!$F$5:$M$5)</f>
        <v>758011</v>
      </c>
      <c r="E101" s="45">
        <f>SUMPRODUCT((Financiero!$F$4:$M$4&lt;Parametros!$C$6)*Financiero!$F$7:$M$7)+SUMPRODUCT((Financiero!$F$4:$M$4=Parametros!$C$6)*Financiero!$F$6:$M$6)</f>
        <v>224656.16</v>
      </c>
      <c r="F101" s="45">
        <f>SUMPRODUCT((Financiero!$F$4:$M$4&lt;=Parametros!$C$6)*Financiero!$F$7:$M$7)+N(Escenarios!H16)</f>
        <v>224656.16</v>
      </c>
      <c r="G101" s="46">
        <f>SUMPRODUCT((Fisico!$F$4:$M$4&lt;=Parametros!$C$6)*Fisico!$F$5:$M$5)</f>
        <v>1</v>
      </c>
      <c r="H101" s="46">
        <f>SUMPRODUCT((Fisico!$F$4:$M$4&lt;Parametros!$C$6)*Fisico!$F$7:$M$7)+SUMPRODUCT((Fisico!$F$4:$M$4=Parametros!$C$6)*Fisico!$F$6:$M$6)</f>
        <v>0</v>
      </c>
      <c r="I101" s="46">
        <f>SUMPRODUCT((Fisico!$F$4:$M$4&lt;=Parametros!$C$6)*Fisico!$F$7:$M$7)+N(Escenarios!G16)</f>
        <v>0</v>
      </c>
      <c r="J101" s="47">
        <f t="shared" ref="J101:J115" si="12">IF(G101=0,"N/A",I101/G101)</f>
        <v>0</v>
      </c>
      <c r="K101" s="47" t="str">
        <f t="shared" ref="K101:K115" si="13">IF(H101=0,"N/A",I101/H101)</f>
        <v>N/A</v>
      </c>
      <c r="L101" s="45">
        <f t="shared" ref="L101:L115" si="14">IF(C101="Sí",SUMIF($A$121:$A$125,A101,$H$121:$H$125),IF(J101="N/A",F101,J101*D101))</f>
        <v>0</v>
      </c>
      <c r="M101" s="45">
        <f t="shared" ref="M101:M115" si="15">IF(C101="Sí",SUMIF($A$121:$A$125,A101,$I$121:$I$125),IF(K101="N/A",F101,K101*E101))</f>
        <v>224656.16</v>
      </c>
    </row>
    <row r="102" spans="1:13" x14ac:dyDescent="0.25">
      <c r="A102" s="30">
        <v>2</v>
      </c>
      <c r="B102" s="44" t="str">
        <f>Fisico!B8</f>
        <v>P1.2. Sistema de información delictual fortalecidos y en funcionamiento</v>
      </c>
      <c r="C102" s="44" t="str">
        <f>Fisico!D8</f>
        <v>No</v>
      </c>
      <c r="D102" s="45">
        <f>SUMPRODUCT((Financiero!$F$4:$M$4&lt;=Parametros!$C$6)*Financiero!$F$8:$M$8)</f>
        <v>3104457</v>
      </c>
      <c r="E102" s="45">
        <f>SUMPRODUCT((Financiero!$F$4:$M$4&lt;Parametros!$C$6)*Financiero!$F$10:$M$10)+SUMPRODUCT((Financiero!$F$4:$M$4=Parametros!$C$6)*Financiero!$F$9:$M$9)</f>
        <v>23360</v>
      </c>
      <c r="F102" s="45">
        <f>SUMPRODUCT((Financiero!$F$4:$M$4&lt;=Parametros!$C$6)*Financiero!$F$10:$M$10)+N(Escenarios!H17)</f>
        <v>23360</v>
      </c>
      <c r="G102" s="46">
        <f>SUMPRODUCT((Fisico!$F$4:$M$4&lt;=Parametros!$C$6)*Fisico!$F$8:$M$8)</f>
        <v>1</v>
      </c>
      <c r="H102" s="46">
        <f>SUMPRODUCT((Fisico!$F$4:$M$4&lt;Parametros!$C$6)*Fisico!$F$10:$M$10)+SUMPRODUCT((Fisico!$F$4:$M$4=Parametros!$C$6)*Fisico!$F$9:$M$9)</f>
        <v>0</v>
      </c>
      <c r="I102" s="46">
        <f>SUMPRODUCT((Fisico!$F$4:$M$4&lt;=Parametros!$C$6)*Fisico!$F$10:$M$10)+N(Escenarios!G17)</f>
        <v>0</v>
      </c>
      <c r="J102" s="47">
        <f t="shared" si="12"/>
        <v>0</v>
      </c>
      <c r="K102" s="47" t="str">
        <f t="shared" si="13"/>
        <v>N/A</v>
      </c>
      <c r="L102" s="45">
        <f t="shared" si="14"/>
        <v>0</v>
      </c>
      <c r="M102" s="45">
        <f t="shared" si="15"/>
        <v>23360</v>
      </c>
    </row>
    <row r="103" spans="1:13" x14ac:dyDescent="0.25">
      <c r="A103" s="30">
        <v>3</v>
      </c>
      <c r="B103" s="44" t="str">
        <f>Fisico!B11</f>
        <v>P.1.3. Departamentos de la FP capacitados en análisis criminal y monitoreo de dinámicas delictivas</v>
      </c>
      <c r="C103" s="44" t="str">
        <f>Fisico!D11</f>
        <v>No</v>
      </c>
      <c r="D103" s="45">
        <f>SUMPRODUCT((Financiero!$F$4:$M$4&lt;=Parametros!$C$6)*Financiero!$F$11:$M$11)</f>
        <v>300000</v>
      </c>
      <c r="E103" s="45">
        <f>SUMPRODUCT((Financiero!$F$4:$M$4&lt;Parametros!$C$6)*Financiero!$F$13:$M$13)+SUMPRODUCT((Financiero!$F$4:$M$4=Parametros!$C$6)*Financiero!$F$12:$M$12)</f>
        <v>140489.60000000001</v>
      </c>
      <c r="F103" s="45">
        <f>SUMPRODUCT((Financiero!$F$4:$M$4&lt;=Parametros!$C$6)*Financiero!$F$13:$M$13)+N(Escenarios!H18)</f>
        <v>140489.60000000001</v>
      </c>
      <c r="G103" s="46">
        <f>SUMPRODUCT((Fisico!$F$4:$M$4&lt;=Parametros!$C$6)*Fisico!$F$11:$M$11)</f>
        <v>16</v>
      </c>
      <c r="H103" s="46">
        <f>SUMPRODUCT((Fisico!$F$4:$M$4&lt;Parametros!$C$6)*Fisico!$F$13:$M$13)+SUMPRODUCT((Fisico!$F$4:$M$4=Parametros!$C$6)*Fisico!$F$12:$M$12)</f>
        <v>29</v>
      </c>
      <c r="I103" s="46">
        <f>SUMPRODUCT((Fisico!$F$4:$M$4&lt;=Parametros!$C$6)*Fisico!$F$13:$M$13)+N(Escenarios!G18)</f>
        <v>29</v>
      </c>
      <c r="J103" s="47">
        <f t="shared" si="12"/>
        <v>1.8125</v>
      </c>
      <c r="K103" s="47">
        <f t="shared" si="13"/>
        <v>1</v>
      </c>
      <c r="L103" s="45">
        <f t="shared" si="14"/>
        <v>543750</v>
      </c>
      <c r="M103" s="45">
        <f t="shared" si="15"/>
        <v>140489.60000000001</v>
      </c>
    </row>
    <row r="104" spans="1:13" x14ac:dyDescent="0.25">
      <c r="A104" s="30">
        <v>4</v>
      </c>
      <c r="B104" s="44" t="str">
        <f>Fisico!B14</f>
        <v>P.1.4. Estrategias policiales basadas en evidencia diseñadas e implementadas</v>
      </c>
      <c r="C104" s="44" t="str">
        <f>Fisico!D14</f>
        <v>No</v>
      </c>
      <c r="D104" s="45">
        <f>SUMPRODUCT((Financiero!$F$4:$M$4&lt;=Parametros!$C$6)*Financiero!$F$14:$M$14)</f>
        <v>1603001</v>
      </c>
      <c r="E104" s="45">
        <f>SUMPRODUCT((Financiero!$F$4:$M$4&lt;Parametros!$C$6)*Financiero!$F$16:$M$16)+SUMPRODUCT((Financiero!$F$4:$M$4=Parametros!$C$6)*Financiero!$F$15:$M$15)</f>
        <v>1399764.2400000002</v>
      </c>
      <c r="F104" s="45">
        <f>SUMPRODUCT((Financiero!$F$4:$M$4&lt;=Parametros!$C$6)*Financiero!$F$16:$M$16)+N(Escenarios!H19)</f>
        <v>835473.63000000012</v>
      </c>
      <c r="G104" s="46">
        <f>SUMPRODUCT((Fisico!$F$4:$M$4&lt;=Parametros!$C$6)*Fisico!$F$14:$M$14)</f>
        <v>1</v>
      </c>
      <c r="H104" s="46">
        <f>SUMPRODUCT((Fisico!$F$4:$M$4&lt;Parametros!$C$6)*Fisico!$F$16:$M$16)+SUMPRODUCT((Fisico!$F$4:$M$4=Parametros!$C$6)*Fisico!$F$15:$M$15)</f>
        <v>1</v>
      </c>
      <c r="I104" s="46">
        <f>SUMPRODUCT((Fisico!$F$4:$M$4&lt;=Parametros!$C$6)*Fisico!$F$16:$M$16)+N(Escenarios!G19)</f>
        <v>0</v>
      </c>
      <c r="J104" s="47">
        <f t="shared" si="12"/>
        <v>0</v>
      </c>
      <c r="K104" s="47">
        <f t="shared" si="13"/>
        <v>0</v>
      </c>
      <c r="L104" s="45">
        <f t="shared" si="14"/>
        <v>0</v>
      </c>
      <c r="M104" s="45">
        <f t="shared" si="15"/>
        <v>0</v>
      </c>
    </row>
    <row r="105" spans="1:13" x14ac:dyDescent="0.25">
      <c r="A105" s="30">
        <v>5</v>
      </c>
      <c r="B105" s="44" t="str">
        <f>Fisico!B17</f>
        <v>P.1.5. Evaluación de impacto de estrategias policiales basadas en evidencia diseñada e implementada</v>
      </c>
      <c r="C105" s="44" t="str">
        <f>Fisico!D17</f>
        <v>No</v>
      </c>
      <c r="D105" s="45">
        <f>SUMPRODUCT((Financiero!$F$4:$M$4&lt;=Parametros!$C$6)*Financiero!$F$17:$M$17)</f>
        <v>150000</v>
      </c>
      <c r="E105" s="45">
        <f>SUMPRODUCT((Financiero!$F$4:$M$4&lt;Parametros!$C$6)*Financiero!$F$19:$M$19)+SUMPRODUCT((Financiero!$F$4:$M$4=Parametros!$C$6)*Financiero!$F$18:$M$18)</f>
        <v>130000</v>
      </c>
      <c r="F105" s="45">
        <f>SUMPRODUCT((Financiero!$F$4:$M$4&lt;=Parametros!$C$6)*Financiero!$F$19:$M$19)+N(Escenarios!H20)</f>
        <v>97637.5</v>
      </c>
      <c r="G105" s="46">
        <f>SUMPRODUCT((Fisico!$F$4:$M$4&lt;=Parametros!$C$6)*Fisico!$F$17:$M$17)</f>
        <v>1</v>
      </c>
      <c r="H105" s="46">
        <f>SUMPRODUCT((Fisico!$F$4:$M$4&lt;Parametros!$C$6)*Fisico!$F$19:$M$19)+SUMPRODUCT((Fisico!$F$4:$M$4=Parametros!$C$6)*Fisico!$F$18:$M$18)</f>
        <v>1</v>
      </c>
      <c r="I105" s="46">
        <f>SUMPRODUCT((Fisico!$F$4:$M$4&lt;=Parametros!$C$6)*Fisico!$F$19:$M$19)+N(Escenarios!G20)</f>
        <v>0</v>
      </c>
      <c r="J105" s="47">
        <f t="shared" si="12"/>
        <v>0</v>
      </c>
      <c r="K105" s="47">
        <f t="shared" si="13"/>
        <v>0</v>
      </c>
      <c r="L105" s="45">
        <f t="shared" si="14"/>
        <v>0</v>
      </c>
      <c r="M105" s="45">
        <f t="shared" si="15"/>
        <v>0</v>
      </c>
    </row>
    <row r="106" spans="1:13" x14ac:dyDescent="0.25">
      <c r="A106" s="30">
        <v>6</v>
      </c>
      <c r="B106" s="44" t="str">
        <f>Fisico!B20</f>
        <v>P.1.6. Sistema de procesamiento de quejas ciudadanas y procesos disciplinarios, fortalecido</v>
      </c>
      <c r="C106" s="44" t="str">
        <f>Fisico!D20</f>
        <v>No</v>
      </c>
      <c r="D106" s="45">
        <f>SUMPRODUCT((Financiero!$F$4:$M$4&lt;=Parametros!$C$6)*Financiero!$F$20:$M$20)</f>
        <v>250000</v>
      </c>
      <c r="E106" s="45">
        <f>SUMPRODUCT((Financiero!$F$4:$M$4&lt;Parametros!$C$6)*Financiero!$F$22:$M$22)+SUMPRODUCT((Financiero!$F$4:$M$4=Parametros!$C$6)*Financiero!$F$21:$M$21)</f>
        <v>365000</v>
      </c>
      <c r="F106" s="45">
        <f>SUMPRODUCT((Financiero!$F$4:$M$4&lt;=Parametros!$C$6)*Financiero!$F$22:$M$22)+N(Escenarios!H21)</f>
        <v>277246.95</v>
      </c>
      <c r="G106" s="46">
        <f>SUMPRODUCT((Fisico!$F$4:$M$4&lt;=Parametros!$C$6)*Fisico!$F$20:$M$20)</f>
        <v>1</v>
      </c>
      <c r="H106" s="46">
        <f>SUMPRODUCT((Fisico!$F$4:$M$4&lt;Parametros!$C$6)*Fisico!$F$22:$M$22)+SUMPRODUCT((Fisico!$F$4:$M$4=Parametros!$C$6)*Fisico!$F$21:$M$21)</f>
        <v>1</v>
      </c>
      <c r="I106" s="46">
        <f>SUMPRODUCT((Fisico!$F$4:$M$4&lt;=Parametros!$C$6)*Fisico!$F$22:$M$22)+N(Escenarios!G21)</f>
        <v>0</v>
      </c>
      <c r="J106" s="47">
        <f t="shared" si="12"/>
        <v>0</v>
      </c>
      <c r="K106" s="47">
        <f t="shared" si="13"/>
        <v>0</v>
      </c>
      <c r="L106" s="45">
        <f t="shared" si="14"/>
        <v>0</v>
      </c>
      <c r="M106" s="45">
        <f t="shared" si="15"/>
        <v>0</v>
      </c>
    </row>
    <row r="107" spans="1:13" x14ac:dyDescent="0.25">
      <c r="A107" s="30">
        <v>7</v>
      </c>
      <c r="B107" s="44" t="str">
        <f>Fisico!B23</f>
        <v>P.1.7. Delegaciones diseñadas, construida, equipadas y operando bajo el enfoque de policía comunitaria</v>
      </c>
      <c r="C107" s="44" t="str">
        <f>Fisico!D23</f>
        <v>Sí</v>
      </c>
      <c r="D107" s="45">
        <f>SUMPRODUCT((Financiero!$F$4:$M$4&lt;=Parametros!$C$6)*Financiero!$F$23:$M$23)</f>
        <v>56834531</v>
      </c>
      <c r="E107" s="45">
        <f>SUMPRODUCT((Financiero!$F$4:$M$4&lt;Parametros!$C$6)*Financiero!$F$25:$M$25)+SUMPRODUCT((Financiero!$F$4:$M$4=Parametros!$C$6)*Financiero!$F$24:$M$24)</f>
        <v>50172908.210000008</v>
      </c>
      <c r="F107" s="45">
        <f>SUMPRODUCT((Financiero!$F$4:$M$4&lt;=Parametros!$C$6)*Financiero!$F$25:$M$25)+N(Escenarios!H22)</f>
        <v>49198416.25</v>
      </c>
      <c r="G107" s="46">
        <f>SUMPRODUCT((Fisico!$F$4:$M$4&lt;=Parametros!$C$6)*Fisico!$F$23:$M$23)</f>
        <v>35</v>
      </c>
      <c r="H107" s="46">
        <f>SUMPRODUCT((Fisico!$F$4:$M$4&lt;Parametros!$C$6)*Fisico!$F$25:$M$25)+SUMPRODUCT((Fisico!$F$4:$M$4=Parametros!$C$6)*Fisico!$F$24:$M$24)</f>
        <v>11</v>
      </c>
      <c r="I107" s="46">
        <f>SUMPRODUCT((Fisico!$F$4:$M$4&lt;=Parametros!$C$6)*Fisico!$F$25:$M$25)+N(Escenarios!G22)</f>
        <v>15</v>
      </c>
      <c r="J107" s="47">
        <f t="shared" si="12"/>
        <v>0.42857142857142855</v>
      </c>
      <c r="K107" s="47">
        <f t="shared" si="13"/>
        <v>1.3636363636363635</v>
      </c>
      <c r="L107" s="45">
        <f t="shared" si="14"/>
        <v>20730696.342857145</v>
      </c>
      <c r="M107" s="45">
        <f t="shared" si="15"/>
        <v>41542021.176470593</v>
      </c>
    </row>
    <row r="108" spans="1:13" x14ac:dyDescent="0.25">
      <c r="A108" s="30">
        <v>8</v>
      </c>
      <c r="B108" s="44" t="str">
        <f>Fisico!B26</f>
        <v>Centro de Mando y Control Policial (CMCP) diseñado, construido, equipado y en funcionamiento</v>
      </c>
      <c r="C108" s="44" t="str">
        <f>Fisico!D26</f>
        <v>No</v>
      </c>
      <c r="D108" s="45">
        <f>SUMPRODUCT((Financiero!$F$4:$M$4&lt;=Parametros!$C$6)*Financiero!$F$26:$M$26)</f>
        <v>0</v>
      </c>
      <c r="E108" s="45">
        <f>SUMPRODUCT((Financiero!$F$4:$M$4&lt;Parametros!$C$6)*Financiero!$F$28:$M$28)+SUMPRODUCT((Financiero!$F$4:$M$4=Parametros!$C$6)*Financiero!$F$27:$M$27)</f>
        <v>3162756.25</v>
      </c>
      <c r="F108" s="45">
        <f>SUMPRODUCT((Financiero!$F$4:$M$4&lt;=Parametros!$C$6)*Financiero!$F$28:$M$28)+N(Escenarios!H23)</f>
        <v>2499243.73</v>
      </c>
      <c r="G108" s="46">
        <f>SUMPRODUCT((Fisico!$F$4:$M$4&lt;=Parametros!$C$6)*Fisico!$F$26:$M$26)</f>
        <v>0</v>
      </c>
      <c r="H108" s="46">
        <f>SUMPRODUCT((Fisico!$F$4:$M$4&lt;Parametros!$C$6)*Fisico!$F$28:$M$28)+SUMPRODUCT((Fisico!$F$4:$M$4=Parametros!$C$6)*Fisico!$F$27:$M$27)</f>
        <v>0</v>
      </c>
      <c r="I108" s="46">
        <f>SUMPRODUCT((Fisico!$F$4:$M$4&lt;=Parametros!$C$6)*Fisico!$F$28:$M$28)+N(Escenarios!G23)</f>
        <v>0</v>
      </c>
      <c r="J108" s="47" t="str">
        <f t="shared" si="12"/>
        <v>N/A</v>
      </c>
      <c r="K108" s="47" t="str">
        <f t="shared" si="13"/>
        <v>N/A</v>
      </c>
      <c r="L108" s="45">
        <f t="shared" si="14"/>
        <v>2499243.73</v>
      </c>
      <c r="M108" s="45">
        <f t="shared" si="15"/>
        <v>2499243.73</v>
      </c>
    </row>
    <row r="109" spans="1:13" x14ac:dyDescent="0.25">
      <c r="A109" s="30">
        <v>9</v>
      </c>
      <c r="B109" s="44" t="str">
        <f>Fisico!B29</f>
        <v>P.2.1. Modelo de atención de los CCP actualizado, fortalecido, y en funcionamiento en los CCPs de la red</v>
      </c>
      <c r="C109" s="44" t="str">
        <f>Fisico!D29</f>
        <v>No</v>
      </c>
      <c r="D109" s="45">
        <f>SUMPRODUCT((Financiero!$F$4:$M$4&lt;=Parametros!$C$6)*Financiero!$F$29:$M$29)</f>
        <v>300000</v>
      </c>
      <c r="E109" s="45">
        <f>SUMPRODUCT((Financiero!$F$4:$M$4&lt;Parametros!$C$6)*Financiero!$F$31:$M$31)+SUMPRODUCT((Financiero!$F$4:$M$4=Parametros!$C$6)*Financiero!$F$30:$M$30)</f>
        <v>353000</v>
      </c>
      <c r="F109" s="45">
        <f>SUMPRODUCT((Financiero!$F$4:$M$4&lt;=Parametros!$C$6)*Financiero!$F$31:$M$31)+N(Escenarios!H24)</f>
        <v>179915.1</v>
      </c>
      <c r="G109" s="46">
        <f>SUMPRODUCT((Fisico!$F$4:$M$4&lt;=Parametros!$C$6)*Fisico!$F$29:$M$29)</f>
        <v>1</v>
      </c>
      <c r="H109" s="46">
        <f>SUMPRODUCT((Fisico!$F$4:$M$4&lt;Parametros!$C$6)*Fisico!$F$31:$M$31)+SUMPRODUCT((Fisico!$F$4:$M$4=Parametros!$C$6)*Fisico!$F$30:$M$30)</f>
        <v>1</v>
      </c>
      <c r="I109" s="46">
        <f>SUMPRODUCT((Fisico!$F$4:$M$4&lt;=Parametros!$C$6)*Fisico!$F$31:$M$31)+N(Escenarios!G24)</f>
        <v>0</v>
      </c>
      <c r="J109" s="47">
        <f t="shared" si="12"/>
        <v>0</v>
      </c>
      <c r="K109" s="47">
        <f t="shared" si="13"/>
        <v>0</v>
      </c>
      <c r="L109" s="45">
        <f t="shared" si="14"/>
        <v>0</v>
      </c>
      <c r="M109" s="45">
        <f t="shared" si="15"/>
        <v>0</v>
      </c>
    </row>
    <row r="110" spans="1:13" x14ac:dyDescent="0.25">
      <c r="A110" s="30">
        <v>10</v>
      </c>
      <c r="B110" s="44" t="str">
        <f>Fisico!B32</f>
        <v>P.2.2. Modelo de gestión de los CCP homologado, fortalecido y en funcionamiento en los CCPs de la red</v>
      </c>
      <c r="C110" s="44" t="str">
        <f>Fisico!D32</f>
        <v>No</v>
      </c>
      <c r="D110" s="45">
        <f>SUMPRODUCT((Financiero!$F$4:$M$4&lt;=Parametros!$C$6)*Financiero!$F$32:$M$32)</f>
        <v>145000</v>
      </c>
      <c r="E110" s="45">
        <f>SUMPRODUCT((Financiero!$F$4:$M$4&lt;Parametros!$C$6)*Financiero!$F$34:$M$34)+SUMPRODUCT((Financiero!$F$4:$M$4=Parametros!$C$6)*Financiero!$F$33:$M$33)</f>
        <v>141855</v>
      </c>
      <c r="F110" s="45">
        <f>SUMPRODUCT((Financiero!$F$4:$M$4&lt;=Parametros!$C$6)*Financiero!$F$34:$M$34)+N(Escenarios!H25)</f>
        <v>0</v>
      </c>
      <c r="G110" s="46">
        <f>SUMPRODUCT((Fisico!$F$4:$M$4&lt;=Parametros!$C$6)*Fisico!$F$32:$M$32)</f>
        <v>1</v>
      </c>
      <c r="H110" s="46">
        <f>SUMPRODUCT((Fisico!$F$4:$M$4&lt;Parametros!$C$6)*Fisico!$F$34:$M$34)+SUMPRODUCT((Fisico!$F$4:$M$4=Parametros!$C$6)*Fisico!$F$33:$M$33)</f>
        <v>1</v>
      </c>
      <c r="I110" s="46">
        <f>SUMPRODUCT((Fisico!$F$4:$M$4&lt;=Parametros!$C$6)*Fisico!$F$34:$M$34)+N(Escenarios!G25)</f>
        <v>0</v>
      </c>
      <c r="J110" s="47">
        <f t="shared" si="12"/>
        <v>0</v>
      </c>
      <c r="K110" s="47">
        <f t="shared" si="13"/>
        <v>0</v>
      </c>
      <c r="L110" s="45">
        <f t="shared" si="14"/>
        <v>0</v>
      </c>
      <c r="M110" s="45">
        <f t="shared" si="15"/>
        <v>0</v>
      </c>
    </row>
    <row r="111" spans="1:13" x14ac:dyDescent="0.25">
      <c r="A111" s="30">
        <v>11</v>
      </c>
      <c r="B111" s="44" t="str">
        <f>Fisico!B35</f>
        <v>P.2.3. Municipalidades y grupos de sociedad civil capacitados y utilizando las nuevas competencias adquiridas en prevención de violencia</v>
      </c>
      <c r="C111" s="44" t="str">
        <f>Fisico!D35</f>
        <v>No</v>
      </c>
      <c r="D111" s="45">
        <f>SUMPRODUCT((Financiero!$F$4:$M$4&lt;=Parametros!$C$6)*Financiero!$F$35:$M$35)</f>
        <v>97500</v>
      </c>
      <c r="E111" s="45">
        <f>SUMPRODUCT((Financiero!$F$4:$M$4&lt;Parametros!$C$6)*Financiero!$F$37:$M$37)+SUMPRODUCT((Financiero!$F$4:$M$4=Parametros!$C$6)*Financiero!$F$36:$M$36)</f>
        <v>97495</v>
      </c>
      <c r="F111" s="45">
        <f>SUMPRODUCT((Financiero!$F$4:$M$4&lt;=Parametros!$C$6)*Financiero!$F$37:$M$37)+N(Escenarios!H26)</f>
        <v>81046.84</v>
      </c>
      <c r="G111" s="46">
        <f>SUMPRODUCT((Fisico!$F$4:$M$4&lt;=Parametros!$C$6)*Fisico!$F$35:$M$35)</f>
        <v>15</v>
      </c>
      <c r="H111" s="46">
        <f>SUMPRODUCT((Fisico!$F$4:$M$4&lt;Parametros!$C$6)*Fisico!$F$37:$M$37)+SUMPRODUCT((Fisico!$F$4:$M$4=Parametros!$C$6)*Fisico!$F$36:$M$36)</f>
        <v>15</v>
      </c>
      <c r="I111" s="46">
        <f>SUMPRODUCT((Fisico!$F$4:$M$4&lt;=Parametros!$C$6)*Fisico!$F$37:$M$37)+N(Escenarios!G26)</f>
        <v>15</v>
      </c>
      <c r="J111" s="47">
        <f t="shared" si="12"/>
        <v>1</v>
      </c>
      <c r="K111" s="47">
        <f t="shared" si="13"/>
        <v>1</v>
      </c>
      <c r="L111" s="45">
        <f t="shared" si="14"/>
        <v>97500</v>
      </c>
      <c r="M111" s="45">
        <f t="shared" si="15"/>
        <v>97495</v>
      </c>
    </row>
    <row r="112" spans="1:13" x14ac:dyDescent="0.25">
      <c r="A112" s="30">
        <v>12</v>
      </c>
      <c r="B112" s="44" t="str">
        <f>Fisico!B38</f>
        <v>P.2.4. Estrategia de comunicación social de los CCP, diseñada e implementada</v>
      </c>
      <c r="C112" s="44" t="str">
        <f>Fisico!D38</f>
        <v>No</v>
      </c>
      <c r="D112" s="45">
        <f>SUMPRODUCT((Financiero!$F$4:$M$4&lt;=Parametros!$C$6)*Financiero!$F$38:$M$38)</f>
        <v>75000</v>
      </c>
      <c r="E112" s="45">
        <f>SUMPRODUCT((Financiero!$F$4:$M$4&lt;Parametros!$C$6)*Financiero!$F$40:$M$40)+SUMPRODUCT((Financiero!$F$4:$M$4=Parametros!$C$6)*Financiero!$F$39:$M$39)</f>
        <v>101393</v>
      </c>
      <c r="F112" s="45">
        <f>SUMPRODUCT((Financiero!$F$4:$M$4&lt;=Parametros!$C$6)*Financiero!$F$40:$M$40)+N(Escenarios!H27)</f>
        <v>46180</v>
      </c>
      <c r="G112" s="46">
        <f>SUMPRODUCT((Fisico!$F$4:$M$4&lt;=Parametros!$C$6)*Fisico!$F$38:$M$38)</f>
        <v>1</v>
      </c>
      <c r="H112" s="46">
        <f>SUMPRODUCT((Fisico!$F$4:$M$4&lt;Parametros!$C$6)*Fisico!$F$40:$M$40)+SUMPRODUCT((Fisico!$F$4:$M$4=Parametros!$C$6)*Fisico!$F$39:$M$39)</f>
        <v>1</v>
      </c>
      <c r="I112" s="46">
        <f>SUMPRODUCT((Fisico!$F$4:$M$4&lt;=Parametros!$C$6)*Fisico!$F$40:$M$40)+N(Escenarios!G27)</f>
        <v>1</v>
      </c>
      <c r="J112" s="47">
        <f t="shared" si="12"/>
        <v>1</v>
      </c>
      <c r="K112" s="47">
        <f t="shared" si="13"/>
        <v>1</v>
      </c>
      <c r="L112" s="45">
        <f t="shared" si="14"/>
        <v>75000</v>
      </c>
      <c r="M112" s="45">
        <f t="shared" si="15"/>
        <v>101393</v>
      </c>
    </row>
    <row r="113" spans="1:13" x14ac:dyDescent="0.25">
      <c r="A113" s="30">
        <v>13</v>
      </c>
      <c r="B113" s="44" t="str">
        <f>Fisico!B41</f>
        <v>P.2.5. Sistema de información integrado de los CCP, desarrollado e implementado</v>
      </c>
      <c r="C113" s="44" t="str">
        <f>Fisico!D41</f>
        <v>No</v>
      </c>
      <c r="D113" s="45">
        <f>SUMPRODUCT((Financiero!$F$4:$M$4&lt;=Parametros!$C$6)*Financiero!$F$41:$M$41)</f>
        <v>87500</v>
      </c>
      <c r="E113" s="45">
        <f>SUMPRODUCT((Financiero!$F$4:$M$4&lt;Parametros!$C$6)*Financiero!$F$43:$M$43)+SUMPRODUCT((Financiero!$F$4:$M$4=Parametros!$C$6)*Financiero!$F$42:$M$42)</f>
        <v>109170</v>
      </c>
      <c r="F113" s="45">
        <f>SUMPRODUCT((Financiero!$F$4:$M$4&lt;=Parametros!$C$6)*Financiero!$F$43:$M$43)+N(Escenarios!H28)</f>
        <v>99715</v>
      </c>
      <c r="G113" s="46">
        <f>SUMPRODUCT((Fisico!$F$4:$M$4&lt;=Parametros!$C$6)*Fisico!$F$41:$M$41)</f>
        <v>1</v>
      </c>
      <c r="H113" s="46">
        <f>SUMPRODUCT((Fisico!$F$4:$M$4&lt;Parametros!$C$6)*Fisico!$F$43:$M$43)+SUMPRODUCT((Fisico!$F$4:$M$4=Parametros!$C$6)*Fisico!$F$42:$M$42)</f>
        <v>1</v>
      </c>
      <c r="I113" s="46">
        <f>SUMPRODUCT((Fisico!$F$4:$M$4&lt;=Parametros!$C$6)*Fisico!$F$43:$M$43)+N(Escenarios!G28)</f>
        <v>0</v>
      </c>
      <c r="J113" s="47">
        <f t="shared" si="12"/>
        <v>0</v>
      </c>
      <c r="K113" s="47">
        <f t="shared" si="13"/>
        <v>0</v>
      </c>
      <c r="L113" s="45">
        <f t="shared" si="14"/>
        <v>0</v>
      </c>
      <c r="M113" s="45">
        <f t="shared" si="15"/>
        <v>0</v>
      </c>
    </row>
    <row r="114" spans="1:13" x14ac:dyDescent="0.25">
      <c r="A114" s="30">
        <v>14</v>
      </c>
      <c r="B114" s="44" t="str">
        <f>Fisico!B44</f>
        <v>P.2.6. Evaluación de impacto de los CCP diseñada e implementada</v>
      </c>
      <c r="C114" s="44" t="str">
        <f>Fisico!D44</f>
        <v>No</v>
      </c>
      <c r="D114" s="45">
        <f>SUMPRODUCT((Financiero!$F$4:$M$4&lt;=Parametros!$C$6)*Financiero!$F$44:$M$44)</f>
        <v>200000</v>
      </c>
      <c r="E114" s="45">
        <f>SUMPRODUCT((Financiero!$F$4:$M$4&lt;Parametros!$C$6)*Financiero!$F$46:$M$46)+SUMPRODUCT((Financiero!$F$4:$M$4=Parametros!$C$6)*Financiero!$F$45:$M$45)</f>
        <v>102087</v>
      </c>
      <c r="F114" s="45">
        <f>SUMPRODUCT((Financiero!$F$4:$M$4&lt;=Parametros!$C$6)*Financiero!$F$46:$M$46)+N(Escenarios!H29)</f>
        <v>13887.5</v>
      </c>
      <c r="G114" s="46">
        <f>SUMPRODUCT((Fisico!$F$4:$M$4&lt;=Parametros!$C$6)*Fisico!$F$44:$M$44)</f>
        <v>1</v>
      </c>
      <c r="H114" s="46">
        <f>SUMPRODUCT((Fisico!$F$4:$M$4&lt;Parametros!$C$6)*Fisico!$F$46:$M$46)+SUMPRODUCT((Fisico!$F$4:$M$4=Parametros!$C$6)*Fisico!$F$45:$M$45)</f>
        <v>1</v>
      </c>
      <c r="I114" s="46">
        <f>SUMPRODUCT((Fisico!$F$4:$M$4&lt;=Parametros!$C$6)*Fisico!$F$46:$M$46)+N(Escenarios!G29)</f>
        <v>0</v>
      </c>
      <c r="J114" s="47">
        <f t="shared" si="12"/>
        <v>0</v>
      </c>
      <c r="K114" s="47">
        <f t="shared" si="13"/>
        <v>0</v>
      </c>
      <c r="L114" s="45">
        <f t="shared" si="14"/>
        <v>0</v>
      </c>
      <c r="M114" s="45">
        <f t="shared" si="15"/>
        <v>0</v>
      </c>
    </row>
    <row r="115" spans="1:13" x14ac:dyDescent="0.25">
      <c r="A115" s="30">
        <v>15</v>
      </c>
      <c r="B115" s="44" t="str">
        <f>Fisico!B47</f>
        <v>P.2.7. CCP diseñados, construidos, equipados y en funcionamiento</v>
      </c>
      <c r="C115" s="44" t="str">
        <f>Fisico!D47</f>
        <v>Sí</v>
      </c>
      <c r="D115" s="45">
        <f>SUMPRODUCT((Financiero!$F$4:$M$4&lt;=Parametros!$C$6)*Financiero!$F$47:$M$47)</f>
        <v>31595000</v>
      </c>
      <c r="E115" s="45">
        <f>SUMPRODUCT((Financiero!$F$4:$M$4&lt;Parametros!$C$6)*Financiero!$F$49:$M$49)+SUMPRODUCT((Financiero!$F$4:$M$4=Parametros!$C$6)*Financiero!$F$48:$M$48)</f>
        <v>27741937.040000003</v>
      </c>
      <c r="F115" s="45">
        <f>SUMPRODUCT((Financiero!$F$4:$M$4&lt;=Parametros!$C$6)*Financiero!$F$49:$M$49)+N(Escenarios!H30)</f>
        <v>27823823.5</v>
      </c>
      <c r="G115" s="46">
        <f>SUMPRODUCT((Fisico!$F$4:$M$4&lt;=Parametros!$C$6)*Fisico!$F$47:$M$47)</f>
        <v>8</v>
      </c>
      <c r="H115" s="46">
        <f>SUMPRODUCT((Fisico!$F$4:$M$4&lt;Parametros!$C$6)*Fisico!$F$49:$M$49)+SUMPRODUCT((Fisico!$F$4:$M$4=Parametros!$C$6)*Fisico!$F$48:$M$48)</f>
        <v>4</v>
      </c>
      <c r="I115" s="46">
        <f>SUMPRODUCT((Fisico!$F$4:$M$4&lt;=Parametros!$C$6)*Fisico!$F$49:$M$49)+N(Escenarios!G30)</f>
        <v>4</v>
      </c>
      <c r="J115" s="47">
        <f t="shared" si="12"/>
        <v>0.5</v>
      </c>
      <c r="K115" s="47">
        <f t="shared" si="13"/>
        <v>1</v>
      </c>
      <c r="L115" s="45">
        <f t="shared" si="14"/>
        <v>17312500</v>
      </c>
      <c r="M115" s="45">
        <f t="shared" si="15"/>
        <v>17312500</v>
      </c>
    </row>
    <row r="116" spans="1:13" x14ac:dyDescent="0.25">
      <c r="B116" s="20" t="s">
        <v>175</v>
      </c>
      <c r="D116" s="48">
        <f>IF(SUM(D101:D115)=0,F116,SUM(D101:D115))</f>
        <v>95500000</v>
      </c>
      <c r="E116" s="48">
        <f>IF(SUM(E101:E115)=0,F116,SUM(E101:E115))</f>
        <v>84265871.500000015</v>
      </c>
      <c r="F116" s="48">
        <f>SUM(F101:F115)</f>
        <v>81541091.760000005</v>
      </c>
      <c r="L116" s="48">
        <f>IF(SUM(D101:D115)=0,F116,SUM(L101:L115))</f>
        <v>41258690.072857141</v>
      </c>
      <c r="M116" s="48">
        <f>IF(SUM(E101:E115)=0,F116,SUM(M101:M115))</f>
        <v>61941158.666470587</v>
      </c>
    </row>
    <row r="120" spans="1:13" ht="38.25" x14ac:dyDescent="0.25">
      <c r="A120" s="8" t="s">
        <v>79</v>
      </c>
      <c r="B120" s="8" t="s">
        <v>80</v>
      </c>
      <c r="C120" s="8" t="s">
        <v>176</v>
      </c>
      <c r="D120" s="8" t="s">
        <v>177</v>
      </c>
      <c r="E120" s="8" t="s">
        <v>178</v>
      </c>
      <c r="F120" s="8" t="s">
        <v>179</v>
      </c>
      <c r="G120" s="8" t="s">
        <v>180</v>
      </c>
      <c r="H120" s="8" t="s">
        <v>181</v>
      </c>
      <c r="I120" s="8" t="s">
        <v>182</v>
      </c>
    </row>
    <row r="121" spans="1:13" x14ac:dyDescent="0.25">
      <c r="A121" s="34">
        <f>Hitos!A5</f>
        <v>7</v>
      </c>
      <c r="B121" s="44" t="str">
        <f>Hitos!B5</f>
        <v>Delegaciones Policiales diseñadas</v>
      </c>
      <c r="C121" s="30">
        <f>SUMPRODUCT((Hitos!$D$4:$K$4&lt;=Parametros!$C$6)*Hitos!$D$7:$K$7)</f>
        <v>21</v>
      </c>
      <c r="D121" s="30">
        <f>N(Escenarios!E35)</f>
        <v>0</v>
      </c>
      <c r="E121" s="30">
        <f>C121+D121</f>
        <v>21</v>
      </c>
      <c r="F121" s="34">
        <f>Hitos!L5</f>
        <v>35</v>
      </c>
      <c r="G121" s="34">
        <f>Hitos!L6</f>
        <v>21</v>
      </c>
      <c r="H121" s="45">
        <f>IF(F121=0,0,E121/F121*Hitos!M5)</f>
        <v>2904000</v>
      </c>
      <c r="I121" s="45">
        <f>IF(G121=0,0,E121/G121*Hitos!N5)</f>
        <v>4840000</v>
      </c>
    </row>
    <row r="122" spans="1:13" x14ac:dyDescent="0.25">
      <c r="A122" s="34">
        <f>Hitos!A8</f>
        <v>7</v>
      </c>
      <c r="B122" s="44" t="str">
        <f>Hitos!B8</f>
        <v>Delegaciones Policiales construidas, equipadas y operando</v>
      </c>
      <c r="C122" s="30">
        <f>SUMPRODUCT((Hitos!$D$4:$K$4&lt;=Parametros!$C$6)*Hitos!$D$10:$K$10)</f>
        <v>12</v>
      </c>
      <c r="D122" s="30">
        <f>N(Escenarios!E36)</f>
        <v>0</v>
      </c>
      <c r="E122" s="30">
        <f>C122+D122</f>
        <v>12</v>
      </c>
      <c r="F122" s="34">
        <f>Hitos!L8</f>
        <v>35</v>
      </c>
      <c r="G122" s="34">
        <f>Hitos!L9</f>
        <v>17</v>
      </c>
      <c r="H122" s="45">
        <f>IF(F122=0,0,E122/F122*Hitos!M8)</f>
        <v>17826696.342857145</v>
      </c>
      <c r="I122" s="45">
        <f>IF(G122=0,0,E122/G122*Hitos!N8)</f>
        <v>36702021.176470593</v>
      </c>
    </row>
    <row r="123" spans="1:13" x14ac:dyDescent="0.25">
      <c r="A123" s="34">
        <f>Hitos!A11</f>
        <v>15</v>
      </c>
      <c r="B123" s="44" t="str">
        <f>Hitos!B11</f>
        <v>CCPs diseñados</v>
      </c>
      <c r="C123" s="30">
        <f>SUMPRODUCT((Hitos!$D$4:$K$4&lt;=Parametros!$C$6)*Hitos!$D$13:$K$13)</f>
        <v>8</v>
      </c>
      <c r="D123" s="30">
        <f>N(Escenarios!E37)</f>
        <v>0</v>
      </c>
      <c r="E123" s="30">
        <f>C123+D123</f>
        <v>8</v>
      </c>
      <c r="F123" s="34">
        <f>Hitos!L11</f>
        <v>8</v>
      </c>
      <c r="G123" s="34">
        <f>Hitos!L12</f>
        <v>8</v>
      </c>
      <c r="H123" s="45">
        <f>IF(F123=0,0,E123/F123*Hitos!M11)</f>
        <v>2300000</v>
      </c>
      <c r="I123" s="45">
        <f>IF(G123=0,0,E123/G123*Hitos!N11)</f>
        <v>2300000</v>
      </c>
    </row>
    <row r="124" spans="1:13" x14ac:dyDescent="0.25">
      <c r="A124" s="34">
        <f>Hitos!A14</f>
        <v>15</v>
      </c>
      <c r="B124" s="44" t="str">
        <f>Hitos!B14</f>
        <v>CCPs construidos, equipados y en funcionamiento</v>
      </c>
      <c r="C124" s="30">
        <f>SUMPRODUCT((Hitos!$D$4:$K$4&lt;=Parametros!$C$6)*Hitos!$D$16:$K$16)</f>
        <v>4</v>
      </c>
      <c r="D124" s="30">
        <f>N(Escenarios!E38)</f>
        <v>0</v>
      </c>
      <c r="E124" s="30">
        <f>C124+D124</f>
        <v>4</v>
      </c>
      <c r="F124" s="34">
        <f>Hitos!L14</f>
        <v>8</v>
      </c>
      <c r="G124" s="34">
        <f>Hitos!L15</f>
        <v>8</v>
      </c>
      <c r="H124" s="45">
        <f>IF(F124=0,0,E124/F124*Hitos!M14)</f>
        <v>14282500</v>
      </c>
      <c r="I124" s="45">
        <f>IF(G124=0,0,E124/G124*Hitos!N14)</f>
        <v>14282500</v>
      </c>
    </row>
    <row r="125" spans="1:13" x14ac:dyDescent="0.25">
      <c r="A125" s="34">
        <f>Hitos!A17</f>
        <v>15</v>
      </c>
      <c r="B125" s="44" t="str">
        <f>Hitos!B17</f>
        <v>Techados de Skate Parks Garabito y Santa Cruz construidos</v>
      </c>
      <c r="C125" s="30">
        <f>SUMPRODUCT((Hitos!$D$4:$K$4&lt;=Parametros!$C$6)*Hitos!$D$19:$K$19)</f>
        <v>2</v>
      </c>
      <c r="D125" s="30">
        <f>N(Escenarios!E39)</f>
        <v>0</v>
      </c>
      <c r="E125" s="30">
        <f>C125+D125</f>
        <v>2</v>
      </c>
      <c r="F125" s="34">
        <f>Hitos!L17</f>
        <v>2</v>
      </c>
      <c r="G125" s="34">
        <f>Hitos!L18</f>
        <v>2</v>
      </c>
      <c r="H125" s="45">
        <f>IF(F125=0,0,E125/F125*Hitos!M17)</f>
        <v>730000</v>
      </c>
      <c r="I125" s="45">
        <f>IF(G125=0,0,E125/G125*Hitos!N17)</f>
        <v>730000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04"/>
  <sheetViews>
    <sheetView zoomScaleNormal="100" workbookViewId="0"/>
  </sheetViews>
  <sheetFormatPr defaultColWidth="8.7109375" defaultRowHeight="15" x14ac:dyDescent="0.25"/>
  <cols>
    <col min="1" max="1" width="26" customWidth="1"/>
    <col min="2" max="3" width="18" customWidth="1"/>
  </cols>
  <sheetData>
    <row r="1" spans="1:3" x14ac:dyDescent="0.25">
      <c r="A1" s="29" t="s">
        <v>186</v>
      </c>
    </row>
    <row r="3" spans="1:3" ht="25.5" x14ac:dyDescent="0.25">
      <c r="A3" s="8" t="s">
        <v>29</v>
      </c>
      <c r="B3" s="8" t="s">
        <v>187</v>
      </c>
      <c r="C3" s="8" t="s">
        <v>188</v>
      </c>
    </row>
    <row r="4" spans="1:3" x14ac:dyDescent="0.25">
      <c r="A4" s="30">
        <v>0</v>
      </c>
      <c r="B4" s="49">
        <v>-1.515E-2</v>
      </c>
      <c r="C4" s="49">
        <v>-8.7739999999999999E-2</v>
      </c>
    </row>
    <row r="5" spans="1:3" x14ac:dyDescent="0.25">
      <c r="A5" s="30">
        <v>1</v>
      </c>
      <c r="B5" s="49">
        <v>-1.2200000000000001E-2</v>
      </c>
      <c r="C5" s="49">
        <v>-8.4790000000000004E-2</v>
      </c>
    </row>
    <row r="6" spans="1:3" x14ac:dyDescent="0.25">
      <c r="A6" s="30">
        <v>2</v>
      </c>
      <c r="B6" s="49">
        <v>-9.11E-3</v>
      </c>
      <c r="C6" s="49">
        <v>-8.1689999999999999E-2</v>
      </c>
    </row>
    <row r="7" spans="1:3" x14ac:dyDescent="0.25">
      <c r="A7" s="30">
        <v>3</v>
      </c>
      <c r="B7" s="49">
        <v>-5.8700000000000002E-3</v>
      </c>
      <c r="C7" s="49">
        <v>-7.8460000000000002E-2</v>
      </c>
    </row>
    <row r="8" spans="1:3" x14ac:dyDescent="0.25">
      <c r="A8" s="30">
        <v>4</v>
      </c>
      <c r="B8" s="49">
        <v>-2.48E-3</v>
      </c>
      <c r="C8" s="49">
        <v>-7.5060000000000002E-2</v>
      </c>
    </row>
    <row r="9" spans="1:3" x14ac:dyDescent="0.25">
      <c r="A9" s="30">
        <v>5</v>
      </c>
      <c r="B9" s="49">
        <v>1.07E-3</v>
      </c>
      <c r="C9" s="49">
        <v>-7.1510000000000004E-2</v>
      </c>
    </row>
    <row r="10" spans="1:3" x14ac:dyDescent="0.25">
      <c r="A10" s="30">
        <v>6</v>
      </c>
      <c r="B10" s="49">
        <v>4.7800000000000004E-3</v>
      </c>
      <c r="C10" s="49">
        <v>-6.7799999999999999E-2</v>
      </c>
    </row>
    <row r="11" spans="1:3" x14ac:dyDescent="0.25">
      <c r="A11" s="30">
        <v>7</v>
      </c>
      <c r="B11" s="49">
        <v>8.6700000000000006E-3</v>
      </c>
      <c r="C11" s="49">
        <v>-6.3909999999999995E-2</v>
      </c>
    </row>
    <row r="12" spans="1:3" x14ac:dyDescent="0.25">
      <c r="A12" s="30">
        <v>8</v>
      </c>
      <c r="B12" s="49">
        <v>1.273E-2</v>
      </c>
      <c r="C12" s="49">
        <v>-5.985E-2</v>
      </c>
    </row>
    <row r="13" spans="1:3" x14ac:dyDescent="0.25">
      <c r="A13" s="30">
        <v>9</v>
      </c>
      <c r="B13" s="49">
        <v>1.6979999999999999E-2</v>
      </c>
      <c r="C13" s="49">
        <v>-5.561E-2</v>
      </c>
    </row>
    <row r="14" spans="1:3" x14ac:dyDescent="0.25">
      <c r="A14" s="30">
        <v>10</v>
      </c>
      <c r="B14" s="49">
        <v>2.1409999999999998E-2</v>
      </c>
      <c r="C14" s="49">
        <v>-5.117E-2</v>
      </c>
    </row>
    <row r="15" spans="1:3" x14ac:dyDescent="0.25">
      <c r="A15" s="30">
        <v>11</v>
      </c>
      <c r="B15" s="49">
        <v>2.6040000000000001E-2</v>
      </c>
      <c r="C15" s="49">
        <v>-4.6539999999999998E-2</v>
      </c>
    </row>
    <row r="16" spans="1:3" x14ac:dyDescent="0.25">
      <c r="A16" s="30">
        <v>12</v>
      </c>
      <c r="B16" s="49">
        <v>3.0880000000000001E-2</v>
      </c>
      <c r="C16" s="49">
        <v>-4.1700000000000001E-2</v>
      </c>
    </row>
    <row r="17" spans="1:3" x14ac:dyDescent="0.25">
      <c r="A17" s="30">
        <v>13</v>
      </c>
      <c r="B17" s="49">
        <v>3.5920000000000001E-2</v>
      </c>
      <c r="C17" s="49">
        <v>-3.6659999999999998E-2</v>
      </c>
    </row>
    <row r="18" spans="1:3" x14ac:dyDescent="0.25">
      <c r="A18" s="30">
        <v>14</v>
      </c>
      <c r="B18" s="49">
        <v>4.1180000000000001E-2</v>
      </c>
      <c r="C18" s="49">
        <v>-3.1399999999999997E-2</v>
      </c>
    </row>
    <row r="19" spans="1:3" x14ac:dyDescent="0.25">
      <c r="A19" s="30">
        <v>15</v>
      </c>
      <c r="B19" s="49">
        <v>4.6649999999999997E-2</v>
      </c>
      <c r="C19" s="49">
        <v>-2.5930000000000002E-2</v>
      </c>
    </row>
    <row r="20" spans="1:3" x14ac:dyDescent="0.25">
      <c r="A20" s="30">
        <v>16</v>
      </c>
      <c r="B20" s="49">
        <v>5.2359999999999997E-2</v>
      </c>
      <c r="C20" s="49">
        <v>-2.0219999999999998E-2</v>
      </c>
    </row>
    <row r="21" spans="1:3" x14ac:dyDescent="0.25">
      <c r="A21" s="30">
        <v>17</v>
      </c>
      <c r="B21" s="49">
        <v>5.8299999999999998E-2</v>
      </c>
      <c r="C21" s="49">
        <v>-1.4290000000000001E-2</v>
      </c>
    </row>
    <row r="22" spans="1:3" x14ac:dyDescent="0.25">
      <c r="A22" s="30">
        <v>18</v>
      </c>
      <c r="B22" s="49">
        <v>6.447E-2</v>
      </c>
      <c r="C22" s="49">
        <v>-8.1099999999999992E-3</v>
      </c>
    </row>
    <row r="23" spans="1:3" x14ac:dyDescent="0.25">
      <c r="A23" s="30">
        <v>19</v>
      </c>
      <c r="B23" s="49">
        <v>7.0889999999999995E-2</v>
      </c>
      <c r="C23" s="49">
        <v>-1.6900000000000001E-3</v>
      </c>
    </row>
    <row r="24" spans="1:3" x14ac:dyDescent="0.25">
      <c r="A24" s="30">
        <v>20</v>
      </c>
      <c r="B24" s="49">
        <v>7.7549999999999994E-2</v>
      </c>
      <c r="C24" s="49">
        <v>4.9699999999999996E-3</v>
      </c>
    </row>
    <row r="25" spans="1:3" x14ac:dyDescent="0.25">
      <c r="A25" s="30">
        <v>21</v>
      </c>
      <c r="B25" s="49">
        <v>8.4470000000000003E-2</v>
      </c>
      <c r="C25" s="49">
        <v>1.189E-2</v>
      </c>
    </row>
    <row r="26" spans="1:3" x14ac:dyDescent="0.25">
      <c r="A26" s="30">
        <v>22</v>
      </c>
      <c r="B26" s="49">
        <v>9.1649999999999995E-2</v>
      </c>
      <c r="C26" s="49">
        <v>1.907E-2</v>
      </c>
    </row>
    <row r="27" spans="1:3" x14ac:dyDescent="0.25">
      <c r="A27" s="30">
        <v>23</v>
      </c>
      <c r="B27" s="49">
        <v>9.9089999999999998E-2</v>
      </c>
      <c r="C27" s="49">
        <v>2.6499999999999999E-2</v>
      </c>
    </row>
    <row r="28" spans="1:3" x14ac:dyDescent="0.25">
      <c r="A28" s="30">
        <v>24</v>
      </c>
      <c r="B28" s="49">
        <v>0.10679</v>
      </c>
      <c r="C28" s="49">
        <v>3.4209999999999997E-2</v>
      </c>
    </row>
    <row r="29" spans="1:3" x14ac:dyDescent="0.25">
      <c r="A29" s="30">
        <v>25</v>
      </c>
      <c r="B29" s="49">
        <v>0.11476</v>
      </c>
      <c r="C29" s="49">
        <v>4.2169999999999999E-2</v>
      </c>
    </row>
    <row r="30" spans="1:3" x14ac:dyDescent="0.25">
      <c r="A30" s="30">
        <v>26</v>
      </c>
      <c r="B30" s="49">
        <v>0.12299</v>
      </c>
      <c r="C30" s="49">
        <v>5.0410000000000003E-2</v>
      </c>
    </row>
    <row r="31" spans="1:3" x14ac:dyDescent="0.25">
      <c r="A31" s="30">
        <v>27</v>
      </c>
      <c r="B31" s="49">
        <v>0.13150000000000001</v>
      </c>
      <c r="C31" s="49">
        <v>5.892E-2</v>
      </c>
    </row>
    <row r="32" spans="1:3" x14ac:dyDescent="0.25">
      <c r="A32" s="30">
        <v>28</v>
      </c>
      <c r="B32" s="49">
        <v>0.14029</v>
      </c>
      <c r="C32" s="49">
        <v>6.7710000000000006E-2</v>
      </c>
    </row>
    <row r="33" spans="1:3" x14ac:dyDescent="0.25">
      <c r="A33" s="30">
        <v>29</v>
      </c>
      <c r="B33" s="49">
        <v>0.14934</v>
      </c>
      <c r="C33" s="49">
        <v>7.6759999999999995E-2</v>
      </c>
    </row>
    <row r="34" spans="1:3" x14ac:dyDescent="0.25">
      <c r="A34" s="30">
        <v>30</v>
      </c>
      <c r="B34" s="49">
        <v>0.15867000000000001</v>
      </c>
      <c r="C34" s="49">
        <v>8.609E-2</v>
      </c>
    </row>
    <row r="35" spans="1:3" x14ac:dyDescent="0.25">
      <c r="A35" s="30">
        <v>31</v>
      </c>
      <c r="B35" s="49">
        <v>0.16827</v>
      </c>
      <c r="C35" s="49">
        <v>9.5680000000000001E-2</v>
      </c>
    </row>
    <row r="36" spans="1:3" x14ac:dyDescent="0.25">
      <c r="A36" s="30">
        <v>32</v>
      </c>
      <c r="B36" s="49">
        <v>0.17813000000000001</v>
      </c>
      <c r="C36" s="49">
        <v>0.10555</v>
      </c>
    </row>
    <row r="37" spans="1:3" x14ac:dyDescent="0.25">
      <c r="A37" s="30">
        <v>33</v>
      </c>
      <c r="B37" s="49">
        <v>0.18826000000000001</v>
      </c>
      <c r="C37" s="49">
        <v>0.11568000000000001</v>
      </c>
    </row>
    <row r="38" spans="1:3" x14ac:dyDescent="0.25">
      <c r="A38" s="30">
        <v>34</v>
      </c>
      <c r="B38" s="49">
        <v>0.19866</v>
      </c>
      <c r="C38" s="49">
        <v>0.12606999999999999</v>
      </c>
    </row>
    <row r="39" spans="1:3" x14ac:dyDescent="0.25">
      <c r="A39" s="30">
        <v>35</v>
      </c>
      <c r="B39" s="49">
        <v>0.20930000000000001</v>
      </c>
      <c r="C39" s="49">
        <v>0.13672000000000001</v>
      </c>
    </row>
    <row r="40" spans="1:3" x14ac:dyDescent="0.25">
      <c r="A40" s="30">
        <v>36</v>
      </c>
      <c r="B40" s="49">
        <v>0.22020000000000001</v>
      </c>
      <c r="C40" s="49">
        <v>0.14762</v>
      </c>
    </row>
    <row r="41" spans="1:3" x14ac:dyDescent="0.25">
      <c r="A41" s="30">
        <v>37</v>
      </c>
      <c r="B41" s="49">
        <v>0.23133999999999999</v>
      </c>
      <c r="C41" s="49">
        <v>0.15876000000000001</v>
      </c>
    </row>
    <row r="42" spans="1:3" x14ac:dyDescent="0.25">
      <c r="A42" s="30">
        <v>38</v>
      </c>
      <c r="B42" s="49">
        <v>0.24271999999999999</v>
      </c>
      <c r="C42" s="49">
        <v>0.17014000000000001</v>
      </c>
    </row>
    <row r="43" spans="1:3" x14ac:dyDescent="0.25">
      <c r="A43" s="30">
        <v>39</v>
      </c>
      <c r="B43" s="49">
        <v>0.25431999999999999</v>
      </c>
      <c r="C43" s="49">
        <v>0.18174000000000001</v>
      </c>
    </row>
    <row r="44" spans="1:3" x14ac:dyDescent="0.25">
      <c r="A44" s="30">
        <v>40</v>
      </c>
      <c r="B44" s="49">
        <v>0.26613999999999999</v>
      </c>
      <c r="C44" s="49">
        <v>0.19356000000000001</v>
      </c>
    </row>
    <row r="45" spans="1:3" x14ac:dyDescent="0.25">
      <c r="A45" s="30">
        <v>41</v>
      </c>
      <c r="B45" s="49">
        <v>0.27816000000000002</v>
      </c>
      <c r="C45" s="49">
        <v>0.20558000000000001</v>
      </c>
    </row>
    <row r="46" spans="1:3" x14ac:dyDescent="0.25">
      <c r="A46" s="30">
        <v>42</v>
      </c>
      <c r="B46" s="49">
        <v>0.29038000000000003</v>
      </c>
      <c r="C46" s="49">
        <v>0.21779999999999999</v>
      </c>
    </row>
    <row r="47" spans="1:3" x14ac:dyDescent="0.25">
      <c r="A47" s="30">
        <v>43</v>
      </c>
      <c r="B47" s="49">
        <v>0.30276999999999998</v>
      </c>
      <c r="C47" s="49">
        <v>0.23019000000000001</v>
      </c>
    </row>
    <row r="48" spans="1:3" x14ac:dyDescent="0.25">
      <c r="A48" s="30">
        <v>44</v>
      </c>
      <c r="B48" s="49">
        <v>0.31533</v>
      </c>
      <c r="C48" s="49">
        <v>0.24274999999999999</v>
      </c>
    </row>
    <row r="49" spans="1:3" x14ac:dyDescent="0.25">
      <c r="A49" s="30">
        <v>45</v>
      </c>
      <c r="B49" s="49">
        <v>0.32805000000000001</v>
      </c>
      <c r="C49" s="49">
        <v>0.25546000000000002</v>
      </c>
    </row>
    <row r="50" spans="1:3" x14ac:dyDescent="0.25">
      <c r="A50" s="30">
        <v>46</v>
      </c>
      <c r="B50" s="49">
        <v>0.34089000000000003</v>
      </c>
      <c r="C50" s="49">
        <v>0.26830999999999999</v>
      </c>
    </row>
    <row r="51" spans="1:3" x14ac:dyDescent="0.25">
      <c r="A51" s="30">
        <v>47</v>
      </c>
      <c r="B51" s="49">
        <v>0.35386000000000001</v>
      </c>
      <c r="C51" s="49">
        <v>0.28127999999999997</v>
      </c>
    </row>
    <row r="52" spans="1:3" x14ac:dyDescent="0.25">
      <c r="A52" s="30">
        <v>48</v>
      </c>
      <c r="B52" s="49">
        <v>0.36692000000000002</v>
      </c>
      <c r="C52" s="49">
        <v>0.29433999999999999</v>
      </c>
    </row>
    <row r="53" spans="1:3" x14ac:dyDescent="0.25">
      <c r="A53" s="30">
        <v>49</v>
      </c>
      <c r="B53" s="49">
        <v>0.38007999999999997</v>
      </c>
      <c r="C53" s="49">
        <v>0.30748999999999999</v>
      </c>
    </row>
    <row r="54" spans="1:3" x14ac:dyDescent="0.25">
      <c r="A54" s="30">
        <v>50</v>
      </c>
      <c r="B54" s="49">
        <v>0.39328999999999997</v>
      </c>
      <c r="C54" s="49">
        <v>0.32071</v>
      </c>
    </row>
    <row r="55" spans="1:3" x14ac:dyDescent="0.25">
      <c r="A55" s="30">
        <v>51</v>
      </c>
      <c r="B55" s="49">
        <v>0.40655999999999998</v>
      </c>
      <c r="C55" s="49">
        <v>0.33398</v>
      </c>
    </row>
    <row r="56" spans="1:3" x14ac:dyDescent="0.25">
      <c r="A56" s="30">
        <v>52</v>
      </c>
      <c r="B56" s="49">
        <v>0.41985</v>
      </c>
      <c r="C56" s="49">
        <v>0.34727000000000002</v>
      </c>
    </row>
    <row r="57" spans="1:3" x14ac:dyDescent="0.25">
      <c r="A57" s="30">
        <v>53</v>
      </c>
      <c r="B57" s="49">
        <v>0.43315999999999999</v>
      </c>
      <c r="C57" s="49">
        <v>0.36058000000000001</v>
      </c>
    </row>
    <row r="58" spans="1:3" x14ac:dyDescent="0.25">
      <c r="A58" s="30">
        <v>54</v>
      </c>
      <c r="B58" s="49">
        <v>0.44646000000000002</v>
      </c>
      <c r="C58" s="49">
        <v>0.37387999999999999</v>
      </c>
    </row>
    <row r="59" spans="1:3" x14ac:dyDescent="0.25">
      <c r="A59" s="30">
        <v>55</v>
      </c>
      <c r="B59" s="49">
        <v>0.45973000000000003</v>
      </c>
      <c r="C59" s="49">
        <v>0.38714999999999999</v>
      </c>
    </row>
    <row r="60" spans="1:3" x14ac:dyDescent="0.25">
      <c r="A60" s="30">
        <v>56</v>
      </c>
      <c r="B60" s="49">
        <v>0.47295999999999999</v>
      </c>
      <c r="C60" s="49">
        <v>0.40037</v>
      </c>
    </row>
    <row r="61" spans="1:3" x14ac:dyDescent="0.25">
      <c r="A61" s="30">
        <v>57</v>
      </c>
      <c r="B61" s="49">
        <v>0.48612</v>
      </c>
      <c r="C61" s="49">
        <v>0.41354000000000002</v>
      </c>
    </row>
    <row r="62" spans="1:3" x14ac:dyDescent="0.25">
      <c r="A62" s="30">
        <v>58</v>
      </c>
      <c r="B62" s="49">
        <v>0.49919999999999998</v>
      </c>
      <c r="C62" s="49">
        <v>0.42662</v>
      </c>
    </row>
    <row r="63" spans="1:3" x14ac:dyDescent="0.25">
      <c r="A63" s="30">
        <v>59</v>
      </c>
      <c r="B63" s="49">
        <v>0.51217999999999997</v>
      </c>
      <c r="C63" s="49">
        <v>0.43959999999999999</v>
      </c>
    </row>
    <row r="64" spans="1:3" x14ac:dyDescent="0.25">
      <c r="A64" s="30">
        <v>60</v>
      </c>
      <c r="B64" s="49">
        <v>0.52503999999999995</v>
      </c>
      <c r="C64" s="49">
        <v>0.45245999999999997</v>
      </c>
    </row>
    <row r="65" spans="1:3" x14ac:dyDescent="0.25">
      <c r="A65" s="30">
        <v>61</v>
      </c>
      <c r="B65" s="49">
        <v>0.53776999999999997</v>
      </c>
      <c r="C65" s="49">
        <v>0.46518999999999999</v>
      </c>
    </row>
    <row r="66" spans="1:3" x14ac:dyDescent="0.25">
      <c r="A66" s="30">
        <v>62</v>
      </c>
      <c r="B66" s="49">
        <v>0.55035000000000001</v>
      </c>
      <c r="C66" s="49">
        <v>0.47776999999999997</v>
      </c>
    </row>
    <row r="67" spans="1:3" x14ac:dyDescent="0.25">
      <c r="A67" s="30">
        <v>63</v>
      </c>
      <c r="B67" s="49">
        <v>0.56276999999999999</v>
      </c>
      <c r="C67" s="49">
        <v>0.49019000000000001</v>
      </c>
    </row>
    <row r="68" spans="1:3" x14ac:dyDescent="0.25">
      <c r="A68" s="30">
        <v>64</v>
      </c>
      <c r="B68" s="49">
        <v>0.57501000000000002</v>
      </c>
      <c r="C68" s="49">
        <v>0.50243000000000004</v>
      </c>
    </row>
    <row r="69" spans="1:3" x14ac:dyDescent="0.25">
      <c r="A69" s="30">
        <v>65</v>
      </c>
      <c r="B69" s="49">
        <v>0.58706000000000003</v>
      </c>
      <c r="C69" s="49">
        <v>0.51448000000000005</v>
      </c>
    </row>
    <row r="70" spans="1:3" x14ac:dyDescent="0.25">
      <c r="A70" s="30">
        <v>66</v>
      </c>
      <c r="B70" s="49">
        <v>0.59891000000000005</v>
      </c>
      <c r="C70" s="49">
        <v>0.52632999999999996</v>
      </c>
    </row>
    <row r="71" spans="1:3" x14ac:dyDescent="0.25">
      <c r="A71" s="30">
        <v>67</v>
      </c>
      <c r="B71" s="49">
        <v>0.61053999999999997</v>
      </c>
      <c r="C71" s="49">
        <v>0.53795999999999999</v>
      </c>
    </row>
    <row r="72" spans="1:3" x14ac:dyDescent="0.25">
      <c r="A72" s="30">
        <v>68</v>
      </c>
      <c r="B72" s="49">
        <v>0.62195</v>
      </c>
      <c r="C72" s="49">
        <v>0.54937000000000002</v>
      </c>
    </row>
    <row r="73" spans="1:3" x14ac:dyDescent="0.25">
      <c r="A73" s="30">
        <v>69</v>
      </c>
      <c r="B73" s="49">
        <v>0.63312000000000002</v>
      </c>
      <c r="C73" s="49">
        <v>0.56054000000000004</v>
      </c>
    </row>
    <row r="74" spans="1:3" x14ac:dyDescent="0.25">
      <c r="A74" s="30">
        <v>70</v>
      </c>
      <c r="B74" s="49">
        <v>0.64405999999999997</v>
      </c>
      <c r="C74" s="49">
        <v>0.57147000000000003</v>
      </c>
    </row>
    <row r="75" spans="1:3" x14ac:dyDescent="0.25">
      <c r="A75" s="30">
        <v>71</v>
      </c>
      <c r="B75" s="49">
        <v>0.65473999999999999</v>
      </c>
      <c r="C75" s="49">
        <v>0.58216000000000001</v>
      </c>
    </row>
    <row r="76" spans="1:3" x14ac:dyDescent="0.25">
      <c r="A76" s="30">
        <v>72</v>
      </c>
      <c r="B76" s="49">
        <v>0.66517000000000004</v>
      </c>
      <c r="C76" s="49">
        <v>0.59258999999999995</v>
      </c>
    </row>
    <row r="77" spans="1:3" x14ac:dyDescent="0.25">
      <c r="A77" s="30">
        <v>73</v>
      </c>
      <c r="B77" s="49">
        <v>0.67532999999999999</v>
      </c>
      <c r="C77" s="49">
        <v>0.60275000000000001</v>
      </c>
    </row>
    <row r="78" spans="1:3" x14ac:dyDescent="0.25">
      <c r="A78" s="30">
        <v>74</v>
      </c>
      <c r="B78" s="49">
        <v>0.68523999999999996</v>
      </c>
      <c r="C78" s="49">
        <v>0.61265999999999998</v>
      </c>
    </row>
    <row r="79" spans="1:3" x14ac:dyDescent="0.25">
      <c r="A79" s="30">
        <v>75</v>
      </c>
      <c r="B79" s="49">
        <v>0.69486999999999999</v>
      </c>
      <c r="C79" s="49">
        <v>0.62229000000000001</v>
      </c>
    </row>
    <row r="80" spans="1:3" x14ac:dyDescent="0.25">
      <c r="A80" s="30">
        <v>76</v>
      </c>
      <c r="B80" s="49">
        <v>0.70423999999999998</v>
      </c>
      <c r="C80" s="49">
        <v>0.63165000000000004</v>
      </c>
    </row>
    <row r="81" spans="1:3" x14ac:dyDescent="0.25">
      <c r="A81" s="30">
        <v>77</v>
      </c>
      <c r="B81" s="49">
        <v>0.71333000000000002</v>
      </c>
      <c r="C81" s="49">
        <v>0.64075000000000004</v>
      </c>
    </row>
    <row r="82" spans="1:3" x14ac:dyDescent="0.25">
      <c r="A82" s="30">
        <v>78</v>
      </c>
      <c r="B82" s="49">
        <v>0.72214999999999996</v>
      </c>
      <c r="C82" s="49">
        <v>0.64956999999999998</v>
      </c>
    </row>
    <row r="83" spans="1:3" x14ac:dyDescent="0.25">
      <c r="A83" s="30">
        <v>79</v>
      </c>
      <c r="B83" s="49">
        <v>0.73068999999999995</v>
      </c>
      <c r="C83" s="49">
        <v>0.65810999999999997</v>
      </c>
    </row>
    <row r="84" spans="1:3" x14ac:dyDescent="0.25">
      <c r="A84" s="30">
        <v>80</v>
      </c>
      <c r="B84" s="49">
        <v>0.73897000000000002</v>
      </c>
      <c r="C84" s="49">
        <v>0.66639000000000004</v>
      </c>
    </row>
    <row r="85" spans="1:3" x14ac:dyDescent="0.25">
      <c r="A85" s="30">
        <v>81</v>
      </c>
      <c r="B85" s="49">
        <v>0.74697999999999998</v>
      </c>
      <c r="C85" s="49">
        <v>0.67439000000000004</v>
      </c>
    </row>
    <row r="86" spans="1:3" x14ac:dyDescent="0.25">
      <c r="A86" s="30">
        <v>82</v>
      </c>
      <c r="B86" s="49">
        <v>0.75470999999999999</v>
      </c>
      <c r="C86" s="49">
        <v>0.68213000000000001</v>
      </c>
    </row>
    <row r="87" spans="1:3" x14ac:dyDescent="0.25">
      <c r="A87" s="30">
        <v>83</v>
      </c>
      <c r="B87" s="49">
        <v>0.76219000000000003</v>
      </c>
      <c r="C87" s="49">
        <v>0.68960999999999995</v>
      </c>
    </row>
    <row r="88" spans="1:3" x14ac:dyDescent="0.25">
      <c r="A88" s="30">
        <v>84</v>
      </c>
      <c r="B88" s="49">
        <v>0.76939999999999997</v>
      </c>
      <c r="C88" s="49">
        <v>0.69681999999999999</v>
      </c>
    </row>
    <row r="89" spans="1:3" x14ac:dyDescent="0.25">
      <c r="A89" s="30">
        <v>85</v>
      </c>
      <c r="B89" s="49">
        <v>0.77634999999999998</v>
      </c>
      <c r="C89" s="49">
        <v>0.70377000000000001</v>
      </c>
    </row>
    <row r="90" spans="1:3" x14ac:dyDescent="0.25">
      <c r="A90" s="30">
        <v>86</v>
      </c>
      <c r="B90" s="49">
        <v>0.78305000000000002</v>
      </c>
      <c r="C90" s="49">
        <v>0.71047000000000005</v>
      </c>
    </row>
    <row r="91" spans="1:3" x14ac:dyDescent="0.25">
      <c r="A91" s="30">
        <v>87</v>
      </c>
      <c r="B91" s="49">
        <v>0.78949999999999998</v>
      </c>
      <c r="C91" s="49">
        <v>0.71692</v>
      </c>
    </row>
    <row r="92" spans="1:3" x14ac:dyDescent="0.25">
      <c r="A92" s="30">
        <v>88</v>
      </c>
      <c r="B92" s="49">
        <v>0.79571000000000003</v>
      </c>
      <c r="C92" s="49">
        <v>0.72313000000000005</v>
      </c>
    </row>
    <row r="93" spans="1:3" x14ac:dyDescent="0.25">
      <c r="A93" s="30">
        <v>89</v>
      </c>
      <c r="B93" s="49">
        <v>0.80167999999999995</v>
      </c>
      <c r="C93" s="49">
        <v>0.72909999999999997</v>
      </c>
    </row>
    <row r="94" spans="1:3" x14ac:dyDescent="0.25">
      <c r="A94" s="30">
        <v>90</v>
      </c>
      <c r="B94" s="49">
        <v>0.80742000000000003</v>
      </c>
      <c r="C94" s="49">
        <v>0.73482999999999998</v>
      </c>
    </row>
    <row r="95" spans="1:3" x14ac:dyDescent="0.25">
      <c r="A95" s="30">
        <v>91</v>
      </c>
      <c r="B95" s="49">
        <v>0.81291999999999998</v>
      </c>
      <c r="C95" s="49">
        <v>0.74034</v>
      </c>
    </row>
    <row r="96" spans="1:3" x14ac:dyDescent="0.25">
      <c r="A96" s="30">
        <v>92</v>
      </c>
      <c r="B96" s="49">
        <v>0.81820999999999999</v>
      </c>
      <c r="C96" s="49">
        <v>0.74563000000000001</v>
      </c>
    </row>
    <row r="97" spans="1:3" x14ac:dyDescent="0.25">
      <c r="A97" s="30">
        <v>93</v>
      </c>
      <c r="B97" s="49">
        <v>0.82328000000000001</v>
      </c>
      <c r="C97" s="49">
        <v>0.75070000000000003</v>
      </c>
    </row>
    <row r="98" spans="1:3" x14ac:dyDescent="0.25">
      <c r="A98" s="30">
        <v>94</v>
      </c>
      <c r="B98" s="49">
        <v>0.82813999999999999</v>
      </c>
      <c r="C98" s="49">
        <v>0.75556000000000001</v>
      </c>
    </row>
    <row r="99" spans="1:3" x14ac:dyDescent="0.25">
      <c r="A99" s="30">
        <v>95</v>
      </c>
      <c r="B99" s="49">
        <v>0.83279999999999998</v>
      </c>
      <c r="C99" s="49">
        <v>0.76022000000000001</v>
      </c>
    </row>
    <row r="100" spans="1:3" x14ac:dyDescent="0.25">
      <c r="A100" s="30">
        <v>96</v>
      </c>
      <c r="B100" s="49">
        <v>0.83726999999999996</v>
      </c>
      <c r="C100" s="49">
        <v>0.76468000000000003</v>
      </c>
    </row>
    <row r="101" spans="1:3" x14ac:dyDescent="0.25">
      <c r="A101" s="30">
        <v>97</v>
      </c>
      <c r="B101" s="49">
        <v>0.84153999999999995</v>
      </c>
      <c r="C101" s="49">
        <v>0.76895999999999998</v>
      </c>
    </row>
    <row r="102" spans="1:3" x14ac:dyDescent="0.25">
      <c r="A102" s="30">
        <v>98</v>
      </c>
      <c r="B102" s="49">
        <v>0.84562000000000004</v>
      </c>
      <c r="C102" s="49">
        <v>0.77303999999999995</v>
      </c>
    </row>
    <row r="103" spans="1:3" x14ac:dyDescent="0.25">
      <c r="A103" s="30">
        <v>99</v>
      </c>
      <c r="B103" s="49">
        <v>0.84953000000000001</v>
      </c>
      <c r="C103" s="49">
        <v>0.77695000000000003</v>
      </c>
    </row>
    <row r="104" spans="1:3" x14ac:dyDescent="0.25">
      <c r="A104" s="30">
        <v>100</v>
      </c>
      <c r="B104" s="49">
        <v>0.85326999999999997</v>
      </c>
      <c r="C104" s="49">
        <v>0.78069</v>
      </c>
    </row>
    <row r="105" spans="1:3" x14ac:dyDescent="0.25">
      <c r="A105" s="30">
        <v>101</v>
      </c>
      <c r="B105" s="49">
        <v>0.85684000000000005</v>
      </c>
      <c r="C105" s="49">
        <v>0.78425999999999996</v>
      </c>
    </row>
    <row r="106" spans="1:3" x14ac:dyDescent="0.25">
      <c r="A106" s="30">
        <v>102</v>
      </c>
      <c r="B106" s="49">
        <v>0.86026000000000002</v>
      </c>
      <c r="C106" s="49">
        <v>0.78768000000000005</v>
      </c>
    </row>
    <row r="107" spans="1:3" x14ac:dyDescent="0.25">
      <c r="A107" s="30">
        <v>103</v>
      </c>
      <c r="B107" s="49">
        <v>0.86351999999999995</v>
      </c>
      <c r="C107" s="49">
        <v>0.79093999999999998</v>
      </c>
    </row>
    <row r="108" spans="1:3" x14ac:dyDescent="0.25">
      <c r="A108" s="30">
        <v>104</v>
      </c>
      <c r="B108" s="49">
        <v>0.86663000000000001</v>
      </c>
      <c r="C108" s="49">
        <v>0.79405000000000003</v>
      </c>
    </row>
    <row r="109" spans="1:3" x14ac:dyDescent="0.25">
      <c r="A109" s="30">
        <v>105</v>
      </c>
      <c r="B109" s="49">
        <v>0.86960000000000004</v>
      </c>
      <c r="C109" s="49">
        <v>0.79701999999999995</v>
      </c>
    </row>
    <row r="110" spans="1:3" x14ac:dyDescent="0.25">
      <c r="A110" s="30">
        <v>106</v>
      </c>
      <c r="B110" s="49">
        <v>0.87243000000000004</v>
      </c>
      <c r="C110" s="49">
        <v>0.79984999999999995</v>
      </c>
    </row>
    <row r="111" spans="1:3" x14ac:dyDescent="0.25">
      <c r="A111" s="30">
        <v>107</v>
      </c>
      <c r="B111" s="49">
        <v>0.87512999999999996</v>
      </c>
      <c r="C111" s="49">
        <v>0.80254999999999999</v>
      </c>
    </row>
    <row r="112" spans="1:3" x14ac:dyDescent="0.25">
      <c r="A112" s="30">
        <v>108</v>
      </c>
      <c r="B112" s="49">
        <v>0.87770999999999999</v>
      </c>
      <c r="C112" s="49">
        <v>0.80511999999999995</v>
      </c>
    </row>
    <row r="113" spans="1:3" x14ac:dyDescent="0.25">
      <c r="A113" s="30">
        <v>109</v>
      </c>
      <c r="B113" s="49">
        <v>0.88016000000000005</v>
      </c>
      <c r="C113" s="49">
        <v>0.80757999999999996</v>
      </c>
    </row>
    <row r="114" spans="1:3" x14ac:dyDescent="0.25">
      <c r="A114" s="30">
        <v>110</v>
      </c>
      <c r="B114" s="49">
        <v>0.88249999999999995</v>
      </c>
      <c r="C114" s="49">
        <v>0.80991999999999997</v>
      </c>
    </row>
    <row r="115" spans="1:3" x14ac:dyDescent="0.25">
      <c r="A115" s="30">
        <v>111</v>
      </c>
      <c r="B115" s="49">
        <v>0.88473000000000002</v>
      </c>
      <c r="C115" s="49">
        <v>0.81215000000000004</v>
      </c>
    </row>
    <row r="116" spans="1:3" x14ac:dyDescent="0.25">
      <c r="A116" s="30">
        <v>112</v>
      </c>
      <c r="B116" s="49">
        <v>0.88685000000000003</v>
      </c>
      <c r="C116" s="49">
        <v>0.81427000000000005</v>
      </c>
    </row>
    <row r="117" spans="1:3" x14ac:dyDescent="0.25">
      <c r="A117" s="30">
        <v>113</v>
      </c>
      <c r="B117" s="49">
        <v>0.88887000000000005</v>
      </c>
      <c r="C117" s="49">
        <v>0.81628999999999996</v>
      </c>
    </row>
    <row r="118" spans="1:3" x14ac:dyDescent="0.25">
      <c r="A118" s="30">
        <v>114</v>
      </c>
      <c r="B118" s="49">
        <v>0.89080000000000004</v>
      </c>
      <c r="C118" s="49">
        <v>0.81821999999999995</v>
      </c>
    </row>
    <row r="119" spans="1:3" x14ac:dyDescent="0.25">
      <c r="A119" s="30">
        <v>115</v>
      </c>
      <c r="B119" s="49">
        <v>0.89263000000000003</v>
      </c>
      <c r="C119" s="49">
        <v>0.82004999999999995</v>
      </c>
    </row>
    <row r="120" spans="1:3" x14ac:dyDescent="0.25">
      <c r="A120" s="30">
        <v>116</v>
      </c>
      <c r="B120" s="49">
        <v>0.89437999999999995</v>
      </c>
      <c r="C120" s="49">
        <v>0.82179000000000002</v>
      </c>
    </row>
    <row r="121" spans="1:3" x14ac:dyDescent="0.25">
      <c r="A121" s="30">
        <v>117</v>
      </c>
      <c r="B121" s="49">
        <v>0.89602999999999999</v>
      </c>
      <c r="C121" s="49">
        <v>0.82345000000000002</v>
      </c>
    </row>
    <row r="122" spans="1:3" x14ac:dyDescent="0.25">
      <c r="A122" s="30">
        <v>118</v>
      </c>
      <c r="B122" s="49">
        <v>0.89761000000000002</v>
      </c>
      <c r="C122" s="49">
        <v>0.82503000000000004</v>
      </c>
    </row>
    <row r="123" spans="1:3" x14ac:dyDescent="0.25">
      <c r="A123" s="30">
        <v>119</v>
      </c>
      <c r="B123" s="49">
        <v>0.89910999999999996</v>
      </c>
      <c r="C123" s="49">
        <v>0.82652999999999999</v>
      </c>
    </row>
    <row r="124" spans="1:3" x14ac:dyDescent="0.25">
      <c r="A124" s="30">
        <v>120</v>
      </c>
      <c r="B124" s="49">
        <v>0.90054000000000001</v>
      </c>
      <c r="C124" s="49">
        <v>0.82796000000000003</v>
      </c>
    </row>
    <row r="125" spans="1:3" x14ac:dyDescent="0.25">
      <c r="A125" s="30">
        <v>121</v>
      </c>
      <c r="B125" s="49">
        <v>0.90190000000000003</v>
      </c>
      <c r="C125" s="49">
        <v>0.82931999999999995</v>
      </c>
    </row>
    <row r="126" spans="1:3" x14ac:dyDescent="0.25">
      <c r="A126" s="30">
        <v>122</v>
      </c>
      <c r="B126" s="49">
        <v>0.90319000000000005</v>
      </c>
      <c r="C126" s="49">
        <v>0.83060999999999996</v>
      </c>
    </row>
    <row r="127" spans="1:3" x14ac:dyDescent="0.25">
      <c r="A127" s="30">
        <v>123</v>
      </c>
      <c r="B127" s="49">
        <v>0.90442</v>
      </c>
      <c r="C127" s="49">
        <v>0.83184000000000002</v>
      </c>
    </row>
    <row r="128" spans="1:3" x14ac:dyDescent="0.25">
      <c r="A128" s="30">
        <v>124</v>
      </c>
      <c r="B128" s="49">
        <v>0.90558000000000005</v>
      </c>
      <c r="C128" s="49">
        <v>0.83299999999999996</v>
      </c>
    </row>
    <row r="129" spans="1:3" x14ac:dyDescent="0.25">
      <c r="A129" s="30">
        <v>125</v>
      </c>
      <c r="B129" s="49">
        <v>0.90669</v>
      </c>
      <c r="C129" s="49">
        <v>0.83411000000000002</v>
      </c>
    </row>
    <row r="130" spans="1:3" x14ac:dyDescent="0.25">
      <c r="A130" s="30">
        <v>126</v>
      </c>
      <c r="B130" s="49">
        <v>0.90774999999999995</v>
      </c>
      <c r="C130" s="49">
        <v>0.83516000000000001</v>
      </c>
    </row>
    <row r="131" spans="1:3" x14ac:dyDescent="0.25">
      <c r="A131" s="30">
        <v>127</v>
      </c>
      <c r="B131" s="49">
        <v>0.90874999999999995</v>
      </c>
      <c r="C131" s="49">
        <v>0.83616000000000001</v>
      </c>
    </row>
    <row r="132" spans="1:3" x14ac:dyDescent="0.25">
      <c r="A132" s="30">
        <v>128</v>
      </c>
      <c r="B132" s="49">
        <v>0.90969999999999995</v>
      </c>
      <c r="C132" s="49">
        <v>0.83711999999999998</v>
      </c>
    </row>
    <row r="133" spans="1:3" x14ac:dyDescent="0.25">
      <c r="A133" s="30">
        <v>129</v>
      </c>
      <c r="B133" s="49">
        <v>0.91059999999999997</v>
      </c>
      <c r="C133" s="49">
        <v>0.83801999999999999</v>
      </c>
    </row>
    <row r="134" spans="1:3" x14ac:dyDescent="0.25">
      <c r="A134" s="30">
        <v>130</v>
      </c>
      <c r="B134" s="49">
        <v>0.91146000000000005</v>
      </c>
      <c r="C134" s="49">
        <v>0.83887999999999996</v>
      </c>
    </row>
    <row r="135" spans="1:3" x14ac:dyDescent="0.25">
      <c r="A135" s="30">
        <v>131</v>
      </c>
      <c r="B135" s="49">
        <v>0.91227000000000003</v>
      </c>
      <c r="C135" s="49">
        <v>0.83969000000000005</v>
      </c>
    </row>
    <row r="136" spans="1:3" x14ac:dyDescent="0.25">
      <c r="A136" s="30">
        <v>132</v>
      </c>
      <c r="B136" s="49">
        <v>0.91305000000000003</v>
      </c>
      <c r="C136" s="49">
        <v>0.84047000000000005</v>
      </c>
    </row>
    <row r="137" spans="1:3" x14ac:dyDescent="0.25">
      <c r="A137" s="30">
        <v>133</v>
      </c>
      <c r="B137" s="49">
        <v>0.91378000000000004</v>
      </c>
      <c r="C137" s="49">
        <v>0.84119999999999995</v>
      </c>
    </row>
    <row r="138" spans="1:3" x14ac:dyDescent="0.25">
      <c r="A138" s="30">
        <v>134</v>
      </c>
      <c r="B138" s="49">
        <v>0.91447999999999996</v>
      </c>
      <c r="C138" s="49">
        <v>0.84189999999999998</v>
      </c>
    </row>
    <row r="139" spans="1:3" x14ac:dyDescent="0.25">
      <c r="A139" s="30">
        <v>135</v>
      </c>
      <c r="B139" s="49">
        <v>0.91513999999999995</v>
      </c>
      <c r="C139" s="49">
        <v>0.84255999999999998</v>
      </c>
    </row>
    <row r="140" spans="1:3" x14ac:dyDescent="0.25">
      <c r="A140" s="30">
        <v>136</v>
      </c>
      <c r="B140" s="49">
        <v>0.91576999999999997</v>
      </c>
      <c r="C140" s="49">
        <v>0.84319</v>
      </c>
    </row>
    <row r="141" spans="1:3" x14ac:dyDescent="0.25">
      <c r="A141" s="30">
        <v>137</v>
      </c>
      <c r="B141" s="49">
        <v>0.91637000000000002</v>
      </c>
      <c r="C141" s="49">
        <v>0.84379000000000004</v>
      </c>
    </row>
    <row r="142" spans="1:3" x14ac:dyDescent="0.25">
      <c r="A142" s="30">
        <v>138</v>
      </c>
      <c r="B142" s="49">
        <v>0.91693000000000002</v>
      </c>
      <c r="C142" s="49">
        <v>0.84435000000000004</v>
      </c>
    </row>
    <row r="143" spans="1:3" x14ac:dyDescent="0.25">
      <c r="A143" s="30">
        <v>139</v>
      </c>
      <c r="B143" s="49">
        <v>0.91747000000000001</v>
      </c>
      <c r="C143" s="49">
        <v>0.84489000000000003</v>
      </c>
    </row>
    <row r="144" spans="1:3" x14ac:dyDescent="0.25">
      <c r="A144" s="30">
        <v>140</v>
      </c>
      <c r="B144" s="49">
        <v>0.91798000000000002</v>
      </c>
      <c r="C144" s="49">
        <v>0.84540000000000004</v>
      </c>
    </row>
    <row r="145" spans="1:3" x14ac:dyDescent="0.25">
      <c r="A145" s="30">
        <v>141</v>
      </c>
      <c r="B145" s="49">
        <v>0.91847000000000001</v>
      </c>
      <c r="C145" s="49">
        <v>0.84589000000000003</v>
      </c>
    </row>
    <row r="146" spans="1:3" x14ac:dyDescent="0.25">
      <c r="A146" s="30">
        <v>142</v>
      </c>
      <c r="B146" s="49">
        <v>0.91893000000000002</v>
      </c>
      <c r="C146" s="49">
        <v>0.84635000000000005</v>
      </c>
    </row>
    <row r="147" spans="1:3" x14ac:dyDescent="0.25">
      <c r="A147" s="30">
        <v>143</v>
      </c>
      <c r="B147" s="49">
        <v>0.91935999999999996</v>
      </c>
      <c r="C147" s="49">
        <v>0.84677999999999998</v>
      </c>
    </row>
    <row r="148" spans="1:3" x14ac:dyDescent="0.25">
      <c r="A148" s="30">
        <v>144</v>
      </c>
      <c r="B148" s="49">
        <v>0.91978000000000004</v>
      </c>
      <c r="C148" s="49">
        <v>0.84719999999999995</v>
      </c>
    </row>
    <row r="149" spans="1:3" x14ac:dyDescent="0.25">
      <c r="A149" s="30">
        <v>145</v>
      </c>
      <c r="B149" s="49">
        <v>0.92017000000000004</v>
      </c>
      <c r="C149" s="49">
        <v>0.84758999999999995</v>
      </c>
    </row>
    <row r="150" spans="1:3" x14ac:dyDescent="0.25">
      <c r="A150" s="30">
        <v>146</v>
      </c>
      <c r="B150" s="49">
        <v>0.92054999999999998</v>
      </c>
      <c r="C150" s="49">
        <v>0.84796000000000005</v>
      </c>
    </row>
    <row r="151" spans="1:3" x14ac:dyDescent="0.25">
      <c r="A151" s="30">
        <v>147</v>
      </c>
      <c r="B151" s="49">
        <v>0.92090000000000005</v>
      </c>
      <c r="C151" s="49">
        <v>0.84831999999999996</v>
      </c>
    </row>
    <row r="152" spans="1:3" x14ac:dyDescent="0.25">
      <c r="A152" s="30">
        <v>148</v>
      </c>
      <c r="B152" s="49">
        <v>0.92122999999999999</v>
      </c>
      <c r="C152" s="49">
        <v>0.84865000000000002</v>
      </c>
    </row>
    <row r="153" spans="1:3" x14ac:dyDescent="0.25">
      <c r="A153" s="30">
        <v>149</v>
      </c>
      <c r="B153" s="49">
        <v>0.92154999999999998</v>
      </c>
      <c r="C153" s="49">
        <v>0.84897</v>
      </c>
    </row>
    <row r="154" spans="1:3" x14ac:dyDescent="0.25">
      <c r="A154" s="30">
        <v>150</v>
      </c>
      <c r="B154" s="49">
        <v>0.92186000000000001</v>
      </c>
      <c r="C154" s="49">
        <v>0.84926999999999997</v>
      </c>
    </row>
    <row r="155" spans="1:3" x14ac:dyDescent="0.25">
      <c r="A155" s="30">
        <v>151</v>
      </c>
      <c r="B155" s="49">
        <v>0.92213999999999996</v>
      </c>
      <c r="C155" s="49">
        <v>0.84955999999999998</v>
      </c>
    </row>
    <row r="156" spans="1:3" x14ac:dyDescent="0.25">
      <c r="A156" s="30">
        <v>152</v>
      </c>
      <c r="B156" s="49">
        <v>0.92240999999999995</v>
      </c>
      <c r="C156" s="49">
        <v>0.84982999999999997</v>
      </c>
    </row>
    <row r="157" spans="1:3" x14ac:dyDescent="0.25">
      <c r="A157" s="30">
        <v>153</v>
      </c>
      <c r="B157" s="49">
        <v>0.92266999999999999</v>
      </c>
      <c r="C157" s="49">
        <v>0.85009000000000001</v>
      </c>
    </row>
    <row r="158" spans="1:3" x14ac:dyDescent="0.25">
      <c r="A158" s="30">
        <v>154</v>
      </c>
      <c r="B158" s="49">
        <v>0.92291999999999996</v>
      </c>
      <c r="C158" s="49">
        <v>0.85033999999999998</v>
      </c>
    </row>
    <row r="159" spans="1:3" x14ac:dyDescent="0.25">
      <c r="A159" s="30">
        <v>155</v>
      </c>
      <c r="B159" s="49">
        <v>0.92315000000000003</v>
      </c>
      <c r="C159" s="49">
        <v>0.85057000000000005</v>
      </c>
    </row>
    <row r="160" spans="1:3" x14ac:dyDescent="0.25">
      <c r="A160" s="30">
        <v>156</v>
      </c>
      <c r="B160" s="49">
        <v>0.92337000000000002</v>
      </c>
      <c r="C160" s="49">
        <v>0.85079000000000005</v>
      </c>
    </row>
    <row r="161" spans="1:3" x14ac:dyDescent="0.25">
      <c r="A161" s="30">
        <v>157</v>
      </c>
      <c r="B161" s="49">
        <v>0.92357999999999996</v>
      </c>
      <c r="C161" s="49">
        <v>0.85099999999999998</v>
      </c>
    </row>
    <row r="162" spans="1:3" x14ac:dyDescent="0.25">
      <c r="A162" s="30">
        <v>158</v>
      </c>
      <c r="B162" s="49">
        <v>0.92378000000000005</v>
      </c>
      <c r="C162" s="49">
        <v>0.85119999999999996</v>
      </c>
    </row>
    <row r="163" spans="1:3" x14ac:dyDescent="0.25">
      <c r="A163" s="30">
        <v>159</v>
      </c>
      <c r="B163" s="49">
        <v>0.92396999999999996</v>
      </c>
      <c r="C163" s="49">
        <v>0.85138000000000003</v>
      </c>
    </row>
    <row r="164" spans="1:3" x14ac:dyDescent="0.25">
      <c r="A164" s="30">
        <v>160</v>
      </c>
      <c r="B164" s="49">
        <v>0.92413999999999996</v>
      </c>
      <c r="C164" s="49">
        <v>0.85155999999999998</v>
      </c>
    </row>
    <row r="165" spans="1:3" x14ac:dyDescent="0.25">
      <c r="A165" s="30">
        <v>161</v>
      </c>
      <c r="B165" s="49">
        <v>0.92430999999999996</v>
      </c>
      <c r="C165" s="49">
        <v>0.85172999999999999</v>
      </c>
    </row>
    <row r="166" spans="1:3" x14ac:dyDescent="0.25">
      <c r="A166" s="30">
        <v>162</v>
      </c>
      <c r="B166" s="49">
        <v>0.92447000000000001</v>
      </c>
      <c r="C166" s="49">
        <v>0.85189000000000004</v>
      </c>
    </row>
    <row r="167" spans="1:3" x14ac:dyDescent="0.25">
      <c r="A167" s="30">
        <v>163</v>
      </c>
      <c r="B167" s="49">
        <v>0.92462999999999995</v>
      </c>
      <c r="C167" s="49">
        <v>0.85204999999999997</v>
      </c>
    </row>
    <row r="168" spans="1:3" x14ac:dyDescent="0.25">
      <c r="A168" s="30">
        <v>164</v>
      </c>
      <c r="B168" s="49">
        <v>0.92476999999999998</v>
      </c>
      <c r="C168" s="49">
        <v>0.85219</v>
      </c>
    </row>
    <row r="169" spans="1:3" x14ac:dyDescent="0.25">
      <c r="A169" s="30">
        <v>165</v>
      </c>
      <c r="B169" s="49">
        <v>0.92491000000000001</v>
      </c>
      <c r="C169" s="49">
        <v>0.85233000000000003</v>
      </c>
    </row>
    <row r="170" spans="1:3" x14ac:dyDescent="0.25">
      <c r="A170" s="30">
        <v>166</v>
      </c>
      <c r="B170" s="49">
        <v>0.92503999999999997</v>
      </c>
      <c r="C170" s="49">
        <v>0.85246</v>
      </c>
    </row>
    <row r="171" spans="1:3" x14ac:dyDescent="0.25">
      <c r="A171" s="30">
        <v>167</v>
      </c>
      <c r="B171" s="49">
        <v>0.92515999999999998</v>
      </c>
      <c r="C171" s="49">
        <v>0.85258</v>
      </c>
    </row>
    <row r="172" spans="1:3" x14ac:dyDescent="0.25">
      <c r="A172" s="30">
        <v>168</v>
      </c>
      <c r="B172" s="49">
        <v>0.92527999999999999</v>
      </c>
      <c r="C172" s="49">
        <v>0.85270000000000001</v>
      </c>
    </row>
    <row r="173" spans="1:3" x14ac:dyDescent="0.25">
      <c r="A173" s="30">
        <v>169</v>
      </c>
      <c r="B173" s="49">
        <v>0.92539000000000005</v>
      </c>
      <c r="C173" s="49">
        <v>0.85280999999999996</v>
      </c>
    </row>
    <row r="174" spans="1:3" x14ac:dyDescent="0.25">
      <c r="A174" s="30">
        <v>170</v>
      </c>
      <c r="B174" s="49">
        <v>0.92549000000000003</v>
      </c>
      <c r="C174" s="49">
        <v>0.85290999999999995</v>
      </c>
    </row>
    <row r="175" spans="1:3" x14ac:dyDescent="0.25">
      <c r="A175" s="30">
        <v>171</v>
      </c>
      <c r="B175" s="49">
        <v>0.92559000000000002</v>
      </c>
      <c r="C175" s="49">
        <v>0.85301000000000005</v>
      </c>
    </row>
    <row r="176" spans="1:3" x14ac:dyDescent="0.25">
      <c r="A176" s="30">
        <v>172</v>
      </c>
      <c r="B176" s="49">
        <v>0.92569000000000001</v>
      </c>
      <c r="C176" s="49">
        <v>0.85311000000000003</v>
      </c>
    </row>
    <row r="177" spans="1:3" x14ac:dyDescent="0.25">
      <c r="A177" s="30">
        <v>173</v>
      </c>
      <c r="B177" s="49">
        <v>0.92578000000000005</v>
      </c>
      <c r="C177" s="49">
        <v>0.85319999999999996</v>
      </c>
    </row>
    <row r="178" spans="1:3" x14ac:dyDescent="0.25">
      <c r="A178" s="30">
        <v>174</v>
      </c>
      <c r="B178" s="49">
        <v>0.92586000000000002</v>
      </c>
      <c r="C178" s="49">
        <v>0.85328000000000004</v>
      </c>
    </row>
    <row r="179" spans="1:3" x14ac:dyDescent="0.25">
      <c r="A179" s="30">
        <v>175</v>
      </c>
      <c r="B179" s="49">
        <v>0.92593999999999999</v>
      </c>
      <c r="C179" s="49">
        <v>0.85336000000000001</v>
      </c>
    </row>
    <row r="180" spans="1:3" x14ac:dyDescent="0.25">
      <c r="A180" s="30">
        <v>176</v>
      </c>
      <c r="B180" s="49">
        <v>0.92601999999999995</v>
      </c>
      <c r="C180" s="49">
        <v>0.85343999999999998</v>
      </c>
    </row>
    <row r="181" spans="1:3" x14ac:dyDescent="0.25">
      <c r="A181" s="30">
        <v>177</v>
      </c>
      <c r="B181" s="49">
        <v>0.92608999999999997</v>
      </c>
      <c r="C181" s="49">
        <v>0.85350999999999999</v>
      </c>
    </row>
    <row r="182" spans="1:3" x14ac:dyDescent="0.25">
      <c r="A182" s="30">
        <v>178</v>
      </c>
      <c r="B182" s="49">
        <v>0.92615999999999998</v>
      </c>
      <c r="C182" s="49">
        <v>0.85358000000000001</v>
      </c>
    </row>
    <row r="183" spans="1:3" x14ac:dyDescent="0.25">
      <c r="A183" s="30">
        <v>179</v>
      </c>
      <c r="B183" s="49">
        <v>0.92623</v>
      </c>
      <c r="C183" s="49">
        <v>0.85363999999999995</v>
      </c>
    </row>
    <row r="184" spans="1:3" x14ac:dyDescent="0.25">
      <c r="A184" s="30">
        <v>180</v>
      </c>
      <c r="B184" s="49">
        <v>0.92628999999999995</v>
      </c>
      <c r="C184" s="49">
        <v>0.85370999999999997</v>
      </c>
    </row>
    <row r="185" spans="1:3" x14ac:dyDescent="0.25">
      <c r="A185" s="30">
        <v>181</v>
      </c>
      <c r="B185" s="49">
        <v>0.92635000000000001</v>
      </c>
      <c r="C185" s="49">
        <v>0.85375999999999996</v>
      </c>
    </row>
    <row r="186" spans="1:3" x14ac:dyDescent="0.25">
      <c r="A186" s="30">
        <v>182</v>
      </c>
      <c r="B186" s="49">
        <v>0.9264</v>
      </c>
      <c r="C186" s="49">
        <v>0.85382000000000002</v>
      </c>
    </row>
    <row r="187" spans="1:3" x14ac:dyDescent="0.25">
      <c r="A187" s="30">
        <v>183</v>
      </c>
      <c r="B187" s="49">
        <v>0.92645</v>
      </c>
      <c r="C187" s="49">
        <v>0.85387000000000002</v>
      </c>
    </row>
    <row r="188" spans="1:3" x14ac:dyDescent="0.25">
      <c r="A188" s="30">
        <v>184</v>
      </c>
      <c r="B188" s="49">
        <v>0.92649999999999999</v>
      </c>
      <c r="C188" s="49">
        <v>0.85392000000000001</v>
      </c>
    </row>
    <row r="189" spans="1:3" x14ac:dyDescent="0.25">
      <c r="A189" s="30">
        <v>185</v>
      </c>
      <c r="B189" s="49">
        <v>0.92654999999999998</v>
      </c>
      <c r="C189" s="49">
        <v>0.85397000000000001</v>
      </c>
    </row>
    <row r="190" spans="1:3" x14ac:dyDescent="0.25">
      <c r="A190" s="30">
        <v>186</v>
      </c>
      <c r="B190" s="49">
        <v>0.92659999999999998</v>
      </c>
      <c r="C190" s="49">
        <v>0.85402</v>
      </c>
    </row>
    <row r="191" spans="1:3" x14ac:dyDescent="0.25">
      <c r="A191" s="30">
        <v>187</v>
      </c>
      <c r="B191" s="49">
        <v>0.92664000000000002</v>
      </c>
      <c r="C191" s="49">
        <v>0.85406000000000004</v>
      </c>
    </row>
    <row r="192" spans="1:3" x14ac:dyDescent="0.25">
      <c r="A192" s="30">
        <v>188</v>
      </c>
      <c r="B192" s="49">
        <v>0.92667999999999995</v>
      </c>
      <c r="C192" s="49">
        <v>0.85409999999999997</v>
      </c>
    </row>
    <row r="193" spans="1:3" x14ac:dyDescent="0.25">
      <c r="A193" s="30">
        <v>189</v>
      </c>
      <c r="B193" s="49">
        <v>0.92671999999999999</v>
      </c>
      <c r="C193" s="49">
        <v>0.85414000000000001</v>
      </c>
    </row>
    <row r="194" spans="1:3" x14ac:dyDescent="0.25">
      <c r="A194" s="30">
        <v>190</v>
      </c>
      <c r="B194" s="49">
        <v>0.92674999999999996</v>
      </c>
      <c r="C194" s="49">
        <v>0.85416999999999998</v>
      </c>
    </row>
    <row r="195" spans="1:3" x14ac:dyDescent="0.25">
      <c r="A195" s="30">
        <v>191</v>
      </c>
      <c r="B195" s="49">
        <v>0.92679</v>
      </c>
      <c r="C195" s="49">
        <v>0.85421000000000002</v>
      </c>
    </row>
    <row r="196" spans="1:3" x14ac:dyDescent="0.25">
      <c r="A196" s="30">
        <v>192</v>
      </c>
      <c r="B196" s="49">
        <v>0.92681999999999998</v>
      </c>
      <c r="C196" s="49">
        <v>0.85424</v>
      </c>
    </row>
    <row r="197" spans="1:3" x14ac:dyDescent="0.25">
      <c r="A197" s="30">
        <v>193</v>
      </c>
      <c r="B197" s="49">
        <v>0.92684999999999995</v>
      </c>
      <c r="C197" s="49">
        <v>0.85426999999999997</v>
      </c>
    </row>
    <row r="198" spans="1:3" x14ac:dyDescent="0.25">
      <c r="A198" s="30">
        <v>194</v>
      </c>
      <c r="B198" s="49">
        <v>0.92688000000000004</v>
      </c>
      <c r="C198" s="49">
        <v>0.85429999999999995</v>
      </c>
    </row>
    <row r="199" spans="1:3" x14ac:dyDescent="0.25">
      <c r="A199" s="30">
        <v>195</v>
      </c>
      <c r="B199" s="49">
        <v>0.92691000000000001</v>
      </c>
      <c r="C199" s="49">
        <v>0.85433000000000003</v>
      </c>
    </row>
    <row r="200" spans="1:3" x14ac:dyDescent="0.25">
      <c r="A200" s="30">
        <v>196</v>
      </c>
      <c r="B200" s="49">
        <v>0.92693999999999999</v>
      </c>
      <c r="C200" s="49">
        <v>0.85435000000000005</v>
      </c>
    </row>
    <row r="201" spans="1:3" x14ac:dyDescent="0.25">
      <c r="A201" s="30">
        <v>197</v>
      </c>
      <c r="B201" s="49">
        <v>0.92696000000000001</v>
      </c>
      <c r="C201" s="49">
        <v>0.85438000000000003</v>
      </c>
    </row>
    <row r="202" spans="1:3" x14ac:dyDescent="0.25">
      <c r="A202" s="30">
        <v>198</v>
      </c>
      <c r="B202" s="49">
        <v>0.92698000000000003</v>
      </c>
      <c r="C202" s="49">
        <v>0.85440000000000005</v>
      </c>
    </row>
    <row r="203" spans="1:3" x14ac:dyDescent="0.25">
      <c r="A203" s="30">
        <v>199</v>
      </c>
      <c r="B203" s="49">
        <v>0.92701</v>
      </c>
      <c r="C203" s="49">
        <v>0.85443000000000002</v>
      </c>
    </row>
    <row r="204" spans="1:3" x14ac:dyDescent="0.25">
      <c r="A204" s="30">
        <v>200</v>
      </c>
      <c r="B204" s="49">
        <v>0.92703000000000002</v>
      </c>
      <c r="C204" s="49">
        <v>0.85445000000000004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dfb1a05-5f1d-449a-8960-62abcb479e7d}" enabled="0" method="" siteId="{9dfb1a05-5f1d-449a-8960-62abcb479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Instrucciones</vt:lpstr>
      <vt:lpstr>Resultados</vt:lpstr>
      <vt:lpstr>Escenarios</vt:lpstr>
      <vt:lpstr>Parametros</vt:lpstr>
      <vt:lpstr>Fisico</vt:lpstr>
      <vt:lpstr>Financiero</vt:lpstr>
      <vt:lpstr>Hitos</vt:lpstr>
      <vt:lpstr>Calculo</vt:lpstr>
      <vt:lpstr>Curva_CR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Borbon Munoz, Alvaro</cp:lastModifiedBy>
  <cp:revision>0</cp:revision>
  <dcterms:created xsi:type="dcterms:W3CDTF">2026-10-14T19:19:24Z</dcterms:created>
  <dcterms:modified xsi:type="dcterms:W3CDTF">2026-10-16T14:42:16Z</dcterms:modified>
  <dc:language>en-US</dc:language>
</cp:coreProperties>
</file>