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ciones" sheetId="1" state="visible" r:id="rId3"/>
    <sheet name="Resultados" sheetId="2" state="visible" r:id="rId4"/>
    <sheet name="Escenarios" sheetId="3" state="visible" r:id="rId5"/>
    <sheet name="Parametros" sheetId="4" state="visible" r:id="rId6"/>
    <sheet name="Fisico" sheetId="5" state="visible" r:id="rId7"/>
    <sheet name="Financiero" sheetId="6" state="visible" r:id="rId8"/>
    <sheet name="Hitos" sheetId="7" state="visible" r:id="rId9"/>
    <sheet name="Calculo" sheetId="8" state="visible" r:id="rId10"/>
    <sheet name="Curva_CR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22" authorId="0">
      <text>
        <r>
          <rPr>
            <sz val="10"/>
            <rFont val="Arial"/>
            <family val="2"/>
          </rPr>
          <t xml:space="preserve">Ejemplo: P(a) financiero 2026 de P.1.7 (16.810.687,62) menos A 2026 al corte (12.836.195,66).</t>
        </r>
      </text>
    </comment>
  </commentList>
</comments>
</file>

<file path=xl/sharedStrings.xml><?xml version="1.0" encoding="utf-8"?>
<sst xmlns="http://schemas.openxmlformats.org/spreadsheetml/2006/main" count="458" uniqueCount="189">
  <si>
    <t xml:space="preserve">Simulador PMR – CR-L1137 (versión reconstruida, editable)</t>
  </si>
  <si>
    <t xml:space="preserve">Por qué existe esta versión</t>
  </si>
  <si>
    <t xml:space="preserve">El simulador oficial (PMR_SIMULATOR CR-L1137) calcula SI = 1,8 (Problema) porque la tabla dinámica 'Pivot EOP Output for milestone' está vacía. Esa tabla alimenta 'Data milestones a output', de donde salen el EV y EV(a) de los productos por hitos (P.1.7 Delegaciones y P.2.7 CCP). Al no encontrarlos, el EV de esos productos queda en blanco (EV total US$3,2mn en lugar de US$41,3mn) y SPI(a)/CPI(a) caen a ≈0,04. Como el archivo está protegido, no es posible refrescar la tabla dinámica.</t>
  </si>
  <si>
    <t xml:space="preserve">Esta versión reproduce la metodología del simulador oficial con fórmulas abiertas y, con los datos del PMR de junio 2026, devuelve SI = 2,70 (Satisfactorio), igual que el reporte PMR (ver hoja Resultados, fila 'Control vs. PMR').</t>
  </si>
  <si>
    <t xml:space="preserve">Cómo usarlo</t>
  </si>
  <si>
    <t xml:space="preserve">1. Hoja 'Escenarios': edite las celdas amarillas. Hay tres escenarios (E1, E2, E3) además del caso Base (PMR jun-2026). Para cada escenario puede indicar: fecha de corte (define los meses desde elegibilidad y el benchmark de desembolsos), desembolso acumulado, y por producto: avance físico adicional en el año, y gasto adicional (US$) en el año. Para los productos por hitos, registre el avance adicional por hito. Las metas del año (P y P(a)) no se pueden modificar: se bloquean en marzo de cada año (las de 2026 en marzo 2026). Solo se mueven el desembolso, el cumplimiento físico y la ejecución financiera.</t>
  </si>
  <si>
    <t xml:space="preserve">2. Hoja 'Resultados': muestra lado a lado los indicadores, su semáforo, el indicador sintético (SI) y la clasificación para Base, E1, E2 y E3.</t>
  </si>
  <si>
    <t xml:space="preserve">3. Hojas 'Fisico', 'Financiero' e 'Hitos': datos base tomados del simulador oficial y del PMR (I semestre 2026). Pueden actualizarse en el próximo ciclo (celdas amarillas).</t>
  </si>
  <si>
    <t xml:space="preserve">4. Hoja 'Parametros': año evaluado, datos de la operación, modalidad (GOM → Caso 1 de ponderación) y ponderaciones del SI.</t>
  </si>
  <si>
    <t xml:space="preserve">Los escenarios E1–E3 vienen precargados como ejemplo (supuestos ilustrativos, no datos del ejecutor); sobrescríbalos.</t>
  </si>
  <si>
    <t xml:space="preserve">Metodología replicada (simulador oficial PMR)</t>
  </si>
  <si>
    <t xml:space="preserve">• PV = P financiero acumulado hasta el año evaluado.  PV(a) = A financiero acumulado de años anteriores + P(a) financiero del año evaluado.  AC = A financiero acumulado hasta el año evaluado.</t>
  </si>
  <si>
    <t xml:space="preserve">• Productos normales: %P = A físico acumulado / P físico acumulado; %P(a) = A físico acumulado / (A físico de años anteriores + P(a) físico del año). EV = %P × PV; EV(a) = %P(a) × PV(a). Si el denominador físico es 0, el % es N/A y EV = EV(a) = AC.</t>
  </si>
  <si>
    <t xml:space="preserve">• Productos por hitos: EV = Σ (A acumulado del hito / meta EOP P del hito) × costo P del hito; EV(a) = Σ (A acumulado / meta EOP P(a)) × costo P(a) del hito.</t>
  </si>
  <si>
    <t xml:space="preserve">• SPI = EV/PV; SPI(a) = EV(a)/PV(a); CPI = EV/AC; CPI(a) = EV(a)/AC. Semáforo: 0,8–2,0 Satisfactorio; 0,4–0,8 Alerta; &lt;0,4 Problema; &gt;2,0 Outlier (puntúa como Problema).</t>
  </si>
  <si>
    <t xml:space="preserve">• Desembolsos: % desembolsado acumulado vs. curva de benchmark de Costa Rica según meses desde la primera elegibilidad (hoja Curva_CR, ciclo de cierre de año).</t>
  </si>
  <si>
    <t xml:space="preserve">• SI = Σ ponderación × puntaje (Satisfactorio 3, Alerta 2, Problema 1). Caso 1 (GOM): Desembolsos 40%, SPI(a) 30%, CPI(a) 30%. Caso 2: 10% / SPI 15% / SPI(a) 30% / CPI 15% / CPI(a) 30%. En etapa 3 se multiplica por 0,8 y se suma 20% del indicador de meses desde 95% desembolsado. SI ≥ 2,5 Satisfactorio; 2 ≤ SI &lt; 2,5 Alerta; SI &lt; 2 Problema.</t>
  </si>
  <si>
    <t xml:space="preserve">Limitaciones</t>
  </si>
  <si>
    <t xml:space="preserve">• Para la fecha de corte del PMR de junio, el sistema usó umbrales de desembolso 0,51/0,44, distintos de la curva de cierre de año (0,538/0,465 a 61 meses); por eso el caso Base usa esos umbrales como valor manual. Para escenarios al 31-dic se usa la curva del simulador oficial.</t>
  </si>
  <si>
    <t xml:space="preserve">• No replica ajustes manuales que SPD pueda hacer en Convergencia ni cambios a la Matriz de Resultados posteriores al PMR.</t>
  </si>
  <si>
    <t xml:space="preserve">Resultados por escenario – CR-L1137</t>
  </si>
  <si>
    <t xml:space="preserve">Calificación PMR simulada. Cambie los supuestos en la hoja 'Escenarios'.</t>
  </si>
  <si>
    <t xml:space="preserve">Concepto</t>
  </si>
  <si>
    <t xml:space="preserve">Base</t>
  </si>
  <si>
    <t xml:space="preserve">E1</t>
  </si>
  <si>
    <t xml:space="preserve">E2</t>
  </si>
  <si>
    <t xml:space="preserve">E3</t>
  </si>
  <si>
    <t xml:space="preserve">Escenario</t>
  </si>
  <si>
    <t xml:space="preserve">Fecha de corte</t>
  </si>
  <si>
    <t xml:space="preserve">Meses desde 1ra elegibilidad</t>
  </si>
  <si>
    <t xml:space="preserve">Desembolso acumulado (%)</t>
  </si>
  <si>
    <t xml:space="preserve">Umbral satisfactorio desembolsos (≥)</t>
  </si>
  <si>
    <t xml:space="preserve">Umbral problema desembolsos (&lt;)</t>
  </si>
  <si>
    <t xml:space="preserve">Semáforo desembolsos</t>
  </si>
  <si>
    <t xml:space="preserve">PV (US$)</t>
  </si>
  <si>
    <t xml:space="preserve">PV(a) (US$)</t>
  </si>
  <si>
    <t xml:space="preserve">AC (US$)</t>
  </si>
  <si>
    <t xml:space="preserve">EV (US$)</t>
  </si>
  <si>
    <t xml:space="preserve">EV(a) (US$)</t>
  </si>
  <si>
    <t xml:space="preserve">SPI = EV/PV</t>
  </si>
  <si>
    <t xml:space="preserve">Semáforo SPI</t>
  </si>
  <si>
    <t xml:space="preserve">SPI(a) = EV(a)/PV(a)</t>
  </si>
  <si>
    <t xml:space="preserve">Semáforo SPI(a)</t>
  </si>
  <si>
    <t xml:space="preserve">CPI = EV/AC</t>
  </si>
  <si>
    <t xml:space="preserve">Semáforo CPI</t>
  </si>
  <si>
    <t xml:space="preserve">CPI(a) = EV(a)/AC</t>
  </si>
  <si>
    <t xml:space="preserve">Semáforo CPI(a)</t>
  </si>
  <si>
    <t xml:space="preserve">Semáforo meses desde 95% (solo etapa 3)</t>
  </si>
  <si>
    <t xml:space="preserve">INDICADOR SINTÉTICO (SI)</t>
  </si>
  <si>
    <t xml:space="preserve">CLASIFICACIÓN</t>
  </si>
  <si>
    <t xml:space="preserve">Margen: gasto adicional sin avance antes de que CPI(a) baje de 0,80 (US$)</t>
  </si>
  <si>
    <t xml:space="preserve">Brecha: EV(a) adicional para SPI(a) satisfactorio (US$)</t>
  </si>
  <si>
    <t xml:space="preserve">Control vs. PMR (jun-2026): SI 2,70 / SPI(a) 0,74 / CPI(a) 0,84 / Desembolso 0,82</t>
  </si>
  <si>
    <t xml:space="preserve">Simulador oficial (archivo protegido)</t>
  </si>
  <si>
    <t xml:space="preserve">SI 1,8 – Problema (EV de hitos no calculado)</t>
  </si>
  <si>
    <t xml:space="preserve">Escenarios – edite las celdas amarillas</t>
  </si>
  <si>
    <t xml:space="preserve">Base = PMR I semestre 2026 sin cambios (no editable aquí). E1–E3 vienen con supuestos de ejemplo.</t>
  </si>
  <si>
    <t xml:space="preserve">Parámetro del escenario</t>
  </si>
  <si>
    <t xml:space="preserve">Base (PMR jun-26)</t>
  </si>
  <si>
    <t xml:space="preserve">Nombre</t>
  </si>
  <si>
    <t xml:space="preserve">Base PMR jun-2026</t>
  </si>
  <si>
    <t xml:space="preserve">Cierre 2026 sin cambios</t>
  </si>
  <si>
    <t xml:space="preserve">Entregas DP jul-ago 2026</t>
  </si>
  <si>
    <t xml:space="preserve">Gasto sin avance físico</t>
  </si>
  <si>
    <t xml:space="preserve">Descripción</t>
  </si>
  <si>
    <t xml:space="preserve">Datos del PMR validado (corte 30-jun-2026)</t>
  </si>
  <si>
    <t xml:space="preserve">Mismos datos, evaluados con el benchmark de desembolsos al 31-dic-2026</t>
  </si>
  <si>
    <t xml:space="preserve">Entrega de DP Desamparados Norte, Turrialba y Pococí (+3) y ejecución del P(a) 2026 de delegaciones (+US$3,97mn)</t>
  </si>
  <si>
    <t xml:space="preserve">Pagos adicionales sin avance físico: +US$3mn delegaciones y +US$5mn CCP</t>
  </si>
  <si>
    <t xml:space="preserve">Desembolso acumulado (US$)</t>
  </si>
  <si>
    <t xml:space="preserve">Umbral desembolso satisfactorio (manual, opcional)</t>
  </si>
  <si>
    <t xml:space="preserve">Base: umbrales que muestra el PMR de junio. Vacío = usar la curva (hoja Curva_CR).</t>
  </si>
  <si>
    <t xml:space="preserve">Umbral desembolso problema (manual, opcional)</t>
  </si>
  <si>
    <t xml:space="preserve">Ajustes por producto (en el año evaluado)</t>
  </si>
  <si>
    <t xml:space="preserve">Nro</t>
  </si>
  <si>
    <t xml:space="preserve">Producto</t>
  </si>
  <si>
    <t xml:space="preserve">A físico adicional</t>
  </si>
  <si>
    <t xml:space="preserve">A financiero adicional (US$)</t>
  </si>
  <si>
    <t xml:space="preserve">Ajustes por hito (avance físico adicional en el año evaluado)</t>
  </si>
  <si>
    <t xml:space="preserve">Nro producto</t>
  </si>
  <si>
    <t xml:space="preserve">Hito</t>
  </si>
  <si>
    <t xml:space="preserve">Nota: para un producto por hitos, el EV depende de los hitos; el 'A físico adicional' del producto solo cambia el %P informativo. Registre el avance en esta tabla.</t>
  </si>
  <si>
    <t xml:space="preserve">Parámetros de la operación</t>
  </si>
  <si>
    <t xml:space="preserve">Operación</t>
  </si>
  <si>
    <t xml:space="preserve">CR-L1137</t>
  </si>
  <si>
    <t xml:space="preserve">Citizen Security and Violence Prevention Program (4871/OC-CR)</t>
  </si>
  <si>
    <t xml:space="preserve">Monto aprobado vigente (US$)</t>
  </si>
  <si>
    <t xml:space="preserve">PMR / simulador oficial</t>
  </si>
  <si>
    <t xml:space="preserve">Año evaluado</t>
  </si>
  <si>
    <t xml:space="preserve">Año de clasificación</t>
  </si>
  <si>
    <t xml:space="preserve">Fecha de primera elegibilidad</t>
  </si>
  <si>
    <t xml:space="preserve">Simulador oficial, hoja Operation Basic Data</t>
  </si>
  <si>
    <t xml:space="preserve">¿Modalidad GOM? (Sí/No)</t>
  </si>
  <si>
    <t xml:space="preserve">Sí</t>
  </si>
  <si>
    <t xml:space="preserve">Sí → Caso 1 de ponderación</t>
  </si>
  <si>
    <t xml:space="preserve">Etapa PMR (Etapa 2 / Etapa 3)</t>
  </si>
  <si>
    <t xml:space="preserve">Etapa 2</t>
  </si>
  <si>
    <t xml:space="preserve">Etapa 3 = después de 95% desembolsado</t>
  </si>
  <si>
    <t xml:space="preserve">Meses desde 95% desembolsado (solo etapa 3)</t>
  </si>
  <si>
    <t xml:space="preserve">Umbral satisfactorio T3 (meses ≤)</t>
  </si>
  <si>
    <t xml:space="preserve">Simulador oficial (benchmarks 2026)</t>
  </si>
  <si>
    <t xml:space="preserve">Umbral problema T3 (meses &gt;)</t>
  </si>
  <si>
    <t xml:space="preserve">Ponderaciones del indicador sintético</t>
  </si>
  <si>
    <t xml:space="preserve">Indicador</t>
  </si>
  <si>
    <t xml:space="preserve">Caso 1 (GOM)</t>
  </si>
  <si>
    <t xml:space="preserve">Caso 2</t>
  </si>
  <si>
    <t xml:space="preserve">Desembolsos</t>
  </si>
  <si>
    <t xml:space="preserve">SPI</t>
  </si>
  <si>
    <t xml:space="preserve">SPI(a)</t>
  </si>
  <si>
    <t xml:space="preserve">CPI</t>
  </si>
  <si>
    <t xml:space="preserve">CPI(a)</t>
  </si>
  <si>
    <t xml:space="preserve">Meses desde 95% (T3, etapa 3)</t>
  </si>
  <si>
    <t xml:space="preserve">Caso de ponderación aplicado</t>
  </si>
  <si>
    <t xml:space="preserve">Fuente: simulador oficial, hoja 'Actualizar benchmarks' (J12:K17)</t>
  </si>
  <si>
    <t xml:space="preserve">Umbrales</t>
  </si>
  <si>
    <t xml:space="preserve">SI satisfactorio (≥)</t>
  </si>
  <si>
    <t xml:space="preserve">SI alerta (≥)</t>
  </si>
  <si>
    <t xml:space="preserve">Índices: satisfactorio desde</t>
  </si>
  <si>
    <t xml:space="preserve">Índices: alerta desde</t>
  </si>
  <si>
    <t xml:space="preserve">Índices: outlier sobre</t>
  </si>
  <si>
    <t xml:space="preserve">Datos físicos por producto – base PMR I semestre 2026 (fuente: simulador oficial)</t>
  </si>
  <si>
    <t xml:space="preserve">Unidad</t>
  </si>
  <si>
    <t xml:space="preserve">¿Por hitos?</t>
  </si>
  <si>
    <t xml:space="preserve">Tipo</t>
  </si>
  <si>
    <t xml:space="preserve">EOP</t>
  </si>
  <si>
    <t xml:space="preserve">P1.1. Plataformas de datos policiales integradas e interoperables</t>
  </si>
  <si>
    <t xml:space="preserve"># of agencies</t>
  </si>
  <si>
    <t xml:space="preserve">No</t>
  </si>
  <si>
    <t xml:space="preserve">P</t>
  </si>
  <si>
    <t xml:space="preserve">P(a)</t>
  </si>
  <si>
    <t xml:space="preserve">A</t>
  </si>
  <si>
    <t xml:space="preserve">P1.2. Sistema de información delictual fortalecidos y en funcionamiento</t>
  </si>
  <si>
    <t xml:space="preserve">P.1.3. Departamentos de la FP capacitados en análisis criminal y monitoreo de dinámicas delictivas</t>
  </si>
  <si>
    <t xml:space="preserve"># de departamentos</t>
  </si>
  <si>
    <t xml:space="preserve">P.1.4. Estrategias policiales basadas en evidencia diseñadas e implementadas</t>
  </si>
  <si>
    <t xml:space="preserve">P.1.5. Evaluación de impacto de estrategias policiales basadas en evidencia diseñada e implementada</t>
  </si>
  <si>
    <t xml:space="preserve">Evaluación</t>
  </si>
  <si>
    <t xml:space="preserve">P.1.6. Sistema de procesamiento de quejas ciudadanas y procesos disciplinarios, fortalecido</t>
  </si>
  <si>
    <t xml:space="preserve">P.1.7. Delegaciones diseñadas, construida, equipadas y operando bajo el enfoque de policía comunitaria</t>
  </si>
  <si>
    <t xml:space="preserve">Subnational governments (#)</t>
  </si>
  <si>
    <t xml:space="preserve">Centro de Mando y Control Policial (CMCP) diseñado, construido, equipado y en funcionamiento</t>
  </si>
  <si>
    <t xml:space="preserve">Número</t>
  </si>
  <si>
    <t xml:space="preserve">P.2.1. Modelo de atención de los CCP actualizado, fortalecido, y en funcionamiento en los CCPs de la red</t>
  </si>
  <si>
    <t xml:space="preserve">P.2.2. Modelo de gestión de los CCP homologado, fortalecido y en funcionamiento en los CCPs de la red</t>
  </si>
  <si>
    <t xml:space="preserve">P.2.3. Municipalidades y grupos de sociedad civil capacitados y utilizando las nuevas competencias adquiridas en prevención de violencia</t>
  </si>
  <si>
    <t xml:space="preserve">#</t>
  </si>
  <si>
    <t xml:space="preserve">P.2.4. Estrategia de comunicación social de los CCP, diseñada e implementada</t>
  </si>
  <si>
    <t xml:space="preserve">P.2.5. Sistema de información integrado de los CCP, desarrollado e implementado</t>
  </si>
  <si>
    <t xml:space="preserve">P.2.6. Evaluación de impacto de los CCP diseñada e implementada</t>
  </si>
  <si>
    <t xml:space="preserve">P.2.7. CCP diseñados, construidos, equipados y en funcionamiento</t>
  </si>
  <si>
    <t xml:space="preserve">Centros Cívicos</t>
  </si>
  <si>
    <t xml:space="preserve">Datos financieros (US$) por producto – base PMR I semestre 2026 (fuente: simulador oficial)</t>
  </si>
  <si>
    <t xml:space="preserve">Hitos de productos por hitos – base PMR I semestre 2026 (fuente: reporte PMR, sección Milestones)</t>
  </si>
  <si>
    <t xml:space="preserve">Meta EOP</t>
  </si>
  <si>
    <t xml:space="preserve">Costo hito P (US$)</t>
  </si>
  <si>
    <t xml:space="preserve">Costo hito P(a) (US$)</t>
  </si>
  <si>
    <t xml:space="preserve">Delegaciones Policiales diseñadas</t>
  </si>
  <si>
    <t xml:space="preserve">Delegaciones Policiales construidas, equipadas y operando</t>
  </si>
  <si>
    <t xml:space="preserve">CCPs diseñados</t>
  </si>
  <si>
    <t xml:space="preserve">CCPs construidos, equipados y en funcionamiento</t>
  </si>
  <si>
    <t xml:space="preserve">Techados de Skate Parks Garabito y Santa Cruz construidos</t>
  </si>
  <si>
    <t xml:space="preserve">El EV de un hito usa la meta EOP P; el EV(a) usa la meta EOP P(a). Años en fila 4 (D:K).</t>
  </si>
  <si>
    <t xml:space="preserve">Cálculo de PV, PV(a), AC, EV y EV(a) por producto y escenario (no editar)</t>
  </si>
  <si>
    <t xml:space="preserve">Escenario: Base</t>
  </si>
  <si>
    <t xml:space="preserve">¿Hitos?</t>
  </si>
  <si>
    <t xml:space="preserve">PV</t>
  </si>
  <si>
    <t xml:space="preserve">PV(a)</t>
  </si>
  <si>
    <t xml:space="preserve">AC</t>
  </si>
  <si>
    <t xml:space="preserve">P físico acum.</t>
  </si>
  <si>
    <t xml:space="preserve">P(a) físico (año)</t>
  </si>
  <si>
    <t xml:space="preserve">A físico acum.</t>
  </si>
  <si>
    <t xml:space="preserve">%P</t>
  </si>
  <si>
    <t xml:space="preserve">%P(a)</t>
  </si>
  <si>
    <t xml:space="preserve">EV</t>
  </si>
  <si>
    <t xml:space="preserve">EV(a)</t>
  </si>
  <si>
    <t xml:space="preserve">TOTAL (regla: si la suma de PV o PV(a) es 0 se usa AC)</t>
  </si>
  <si>
    <t xml:space="preserve">A acum. base</t>
  </si>
  <si>
    <t xml:space="preserve">A adicional</t>
  </si>
  <si>
    <t xml:space="preserve">A acum.</t>
  </si>
  <si>
    <t xml:space="preserve">Meta EOP P</t>
  </si>
  <si>
    <t xml:space="preserve">Meta EOP P(a)</t>
  </si>
  <si>
    <t xml:space="preserve">EV hito</t>
  </si>
  <si>
    <t xml:space="preserve">EV(a) hito</t>
  </si>
  <si>
    <t xml:space="preserve">Escenario: E1</t>
  </si>
  <si>
    <t xml:space="preserve">Escenario: E2</t>
  </si>
  <si>
    <t xml:space="preserve">Escenario: E3</t>
  </si>
  <si>
    <t xml:space="preserve">Curva de benchmark de desembolsos – Costa Rica (ciclo de cierre de año, simulador oficial)</t>
  </si>
  <si>
    <t xml:space="preserve">Satisfactorio si ≥</t>
  </si>
  <si>
    <t xml:space="preserve">Problema si &lt;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</si>
</sst>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dd/mm/yyyy"/>
    <numFmt numFmtId="166" formatCode="0"/>
    <numFmt numFmtId="167" formatCode="0.0%"/>
    <numFmt numFmtId="168" formatCode="0.0000"/>
    <numFmt numFmtId="169" formatCode="#,##0;\(#,##0\);\-"/>
    <numFmt numFmtId="170" formatCode="0.00"/>
    <numFmt numFmtId="171" formatCode="0.##"/>
    <numFmt numFmtId="172" formatCode="0.0"/>
    <numFmt numFmtId="173" formatCode="0%"/>
    <numFmt numFmtId="174" formatCode="#,##0.##;\(#,##0.##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9E2F3"/>
        <bgColor rgb="FFF2F2F2"/>
      </patternFill>
    </fill>
    <fill>
      <patternFill patternType="solid">
        <fgColor rgb="FFF2F2F2"/>
        <bgColor rgb="FFD9E2F3"/>
      </patternFill>
    </fill>
    <fill>
      <patternFill patternType="solid">
        <fgColor rgb="FFFFFF99"/>
        <bgColor rgb="FFFFEB9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8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</dxf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EB9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2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/>
    </row>
    <row r="4" customFormat="false" ht="15" hidden="false" customHeight="false" outlineLevel="0" collapsed="false">
      <c r="B4" s="3" t="s">
        <v>1</v>
      </c>
    </row>
    <row r="5" customFormat="false" ht="46.25" hidden="false" customHeight="false" outlineLevel="0" collapsed="false">
      <c r="B5" s="2" t="s">
        <v>2</v>
      </c>
    </row>
    <row r="6" customFormat="false" ht="23.8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3" t="s">
        <v>4</v>
      </c>
    </row>
    <row r="9" customFormat="false" ht="57.45" hidden="false" customHeight="false" outlineLevel="0" collapsed="false">
      <c r="B9" s="2" t="s">
        <v>5</v>
      </c>
    </row>
    <row r="10" customFormat="false" ht="15" hidden="false" customHeight="false" outlineLevel="0" collapsed="false">
      <c r="B10" s="2" t="s">
        <v>6</v>
      </c>
    </row>
    <row r="11" customFormat="false" ht="23.8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4" t="s">
        <v>9</v>
      </c>
    </row>
    <row r="14" customFormat="false" ht="15" hidden="false" customHeight="false" outlineLevel="0" collapsed="false">
      <c r="B14" s="2"/>
    </row>
    <row r="15" customFormat="false" ht="15" hidden="false" customHeight="false" outlineLevel="0" collapsed="false">
      <c r="B15" s="3" t="s">
        <v>10</v>
      </c>
    </row>
    <row r="16" customFormat="false" ht="23.85" hidden="false" customHeight="false" outlineLevel="0" collapsed="false">
      <c r="B16" s="2" t="s">
        <v>11</v>
      </c>
    </row>
    <row r="17" customFormat="false" ht="23.85" hidden="false" customHeight="false" outlineLevel="0" collapsed="false">
      <c r="B17" s="2" t="s">
        <v>12</v>
      </c>
    </row>
    <row r="18" customFormat="false" ht="23.85" hidden="false" customHeight="false" outlineLevel="0" collapsed="false">
      <c r="B18" s="2" t="s">
        <v>13</v>
      </c>
    </row>
    <row r="19" customFormat="false" ht="23.85" hidden="false" customHeight="false" outlineLevel="0" collapsed="false">
      <c r="B19" s="2" t="s">
        <v>14</v>
      </c>
    </row>
    <row r="20" customFormat="false" ht="23.85" hidden="false" customHeight="false" outlineLevel="0" collapsed="false">
      <c r="B20" s="2" t="s">
        <v>15</v>
      </c>
    </row>
    <row r="21" customFormat="false" ht="35.05" hidden="false" customHeight="false" outlineLevel="0" collapsed="false">
      <c r="B21" s="2" t="s">
        <v>16</v>
      </c>
    </row>
    <row r="22" customFormat="false" ht="15" hidden="false" customHeight="false" outlineLevel="0" collapsed="false">
      <c r="B22" s="2"/>
    </row>
    <row r="23" customFormat="false" ht="15" hidden="false" customHeight="false" outlineLevel="0" collapsed="false">
      <c r="B23" s="3" t="s">
        <v>17</v>
      </c>
    </row>
    <row r="24" customFormat="false" ht="23.85" hidden="false" customHeight="false" outlineLevel="0" collapsed="false">
      <c r="B24" s="2" t="s">
        <v>18</v>
      </c>
    </row>
    <row r="25" customFormat="false" ht="15" hidden="false" customHeight="false" outlineLevel="0" collapsed="false">
      <c r="B25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24"/>
  </cols>
  <sheetData>
    <row r="1" customFormat="false" ht="17.35" hidden="false" customHeight="false" outlineLevel="0" collapsed="false">
      <c r="A1" s="5" t="s">
        <v>20</v>
      </c>
    </row>
    <row r="2" customFormat="false" ht="15" hidden="false" customHeight="false" outlineLevel="0" collapsed="false">
      <c r="A2" s="6" t="s">
        <v>21</v>
      </c>
    </row>
    <row r="4" customFormat="false" ht="15" hidden="false" customHeight="false" outlineLevel="0" collapsed="false">
      <c r="A4" s="7" t="s">
        <v>22</v>
      </c>
      <c r="B4" s="7" t="s">
        <v>23</v>
      </c>
      <c r="C4" s="7" t="s">
        <v>24</v>
      </c>
      <c r="D4" s="7" t="s">
        <v>25</v>
      </c>
      <c r="E4" s="7" t="s">
        <v>26</v>
      </c>
    </row>
    <row r="5" customFormat="false" ht="31.5" hidden="false" customHeight="true" outlineLevel="0" collapsed="false">
      <c r="A5" s="8" t="s">
        <v>27</v>
      </c>
      <c r="B5" s="9" t="str">
        <f aca="false">Escenarios!C5</f>
        <v>Base PMR jun-2026</v>
      </c>
      <c r="C5" s="9" t="str">
        <f aca="false">Escenarios!D5</f>
        <v>Cierre 2026 sin cambios</v>
      </c>
      <c r="D5" s="9" t="str">
        <f aca="false">Escenarios!E5</f>
        <v>Entregas DP jul-ago 2026</v>
      </c>
      <c r="E5" s="9" t="str">
        <f aca="false">Escenarios!F5</f>
        <v>Gasto sin avance físico</v>
      </c>
    </row>
    <row r="6" customFormat="false" ht="15" hidden="false" customHeight="false" outlineLevel="0" collapsed="false">
      <c r="A6" s="10" t="s">
        <v>28</v>
      </c>
      <c r="B6" s="11" t="n">
        <f aca="false">Escenarios!C7</f>
        <v>46203</v>
      </c>
      <c r="C6" s="11" t="n">
        <f aca="false">Escenarios!D7</f>
        <v>46387</v>
      </c>
      <c r="D6" s="11" t="n">
        <f aca="false">Escenarios!E7</f>
        <v>46387</v>
      </c>
      <c r="E6" s="11" t="n">
        <f aca="false">Escenarios!F7</f>
        <v>46387</v>
      </c>
    </row>
    <row r="7" customFormat="false" ht="15" hidden="false" customHeight="false" outlineLevel="0" collapsed="false">
      <c r="A7" s="10" t="s">
        <v>29</v>
      </c>
      <c r="B7" s="12" t="n">
        <f aca="false">DATEDIF(Parametros!$C$7,B6,"m")</f>
        <v>61</v>
      </c>
      <c r="C7" s="12" t="n">
        <f aca="false">DATEDIF(Parametros!$C$7,C6,"m")</f>
        <v>67</v>
      </c>
      <c r="D7" s="12" t="n">
        <f aca="false">DATEDIF(Parametros!$C$7,D6,"m")</f>
        <v>67</v>
      </c>
      <c r="E7" s="12" t="n">
        <f aca="false">DATEDIF(Parametros!$C$7,E6,"m")</f>
        <v>67</v>
      </c>
    </row>
    <row r="8" customFormat="false" ht="15" hidden="false" customHeight="false" outlineLevel="0" collapsed="false">
      <c r="A8" s="10" t="s">
        <v>30</v>
      </c>
      <c r="B8" s="13" t="n">
        <f aca="false">Escenarios!C8/Parametros!$C$5</f>
        <v>0.819</v>
      </c>
      <c r="C8" s="13" t="n">
        <f aca="false">Escenarios!D8/Parametros!$C$5</f>
        <v>0.819</v>
      </c>
      <c r="D8" s="13" t="n">
        <f aca="false">Escenarios!E8/Parametros!$C$5</f>
        <v>0.819</v>
      </c>
      <c r="E8" s="13" t="n">
        <f aca="false">Escenarios!F8/Parametros!$C$5</f>
        <v>0.819</v>
      </c>
    </row>
    <row r="9" customFormat="false" ht="15" hidden="false" customHeight="false" outlineLevel="0" collapsed="false">
      <c r="A9" s="10" t="s">
        <v>31</v>
      </c>
      <c r="B9" s="14" t="n">
        <f aca="false">IF(Escenarios!C9&lt;&gt;"",Escenarios!C9,INDEX(Curva_CR!$B$4:$B$204,MATCH(B7,Curva_CR!$A$4:$A$204,0)))</f>
        <v>0.51</v>
      </c>
      <c r="C9" s="14" t="n">
        <f aca="false">IF(Escenarios!D9&lt;&gt;"",Escenarios!D9,INDEX(Curva_CR!$B$4:$B$204,MATCH(C7,Curva_CR!$A$4:$A$204,0)))</f>
        <v>0.61054</v>
      </c>
      <c r="D9" s="14" t="n">
        <f aca="false">IF(Escenarios!E9&lt;&gt;"",Escenarios!E9,INDEX(Curva_CR!$B$4:$B$204,MATCH(D7,Curva_CR!$A$4:$A$204,0)))</f>
        <v>0.61054</v>
      </c>
      <c r="E9" s="14" t="n">
        <f aca="false">IF(Escenarios!F9&lt;&gt;"",Escenarios!F9,INDEX(Curva_CR!$B$4:$B$204,MATCH(E7,Curva_CR!$A$4:$A$204,0)))</f>
        <v>0.61054</v>
      </c>
    </row>
    <row r="10" customFormat="false" ht="15" hidden="false" customHeight="false" outlineLevel="0" collapsed="false">
      <c r="A10" s="10" t="s">
        <v>32</v>
      </c>
      <c r="B10" s="14" t="n">
        <f aca="false">IF(Escenarios!C10&lt;&gt;"",Escenarios!C10,INDEX(Curva_CR!$C$4:$C$204,MATCH(B7,Curva_CR!$A$4:$A$204,0)))</f>
        <v>0.44</v>
      </c>
      <c r="C10" s="14" t="n">
        <f aca="false">IF(Escenarios!D10&lt;&gt;"",Escenarios!D10,INDEX(Curva_CR!$C$4:$C$204,MATCH(C7,Curva_CR!$A$4:$A$204,0)))</f>
        <v>0.53796</v>
      </c>
      <c r="D10" s="14" t="n">
        <f aca="false">IF(Escenarios!E10&lt;&gt;"",Escenarios!E10,INDEX(Curva_CR!$C$4:$C$204,MATCH(D7,Curva_CR!$A$4:$A$204,0)))</f>
        <v>0.53796</v>
      </c>
      <c r="E10" s="14" t="n">
        <f aca="false">IF(Escenarios!F10&lt;&gt;"",Escenarios!F10,INDEX(Curva_CR!$C$4:$C$204,MATCH(E7,Curva_CR!$A$4:$A$204,0)))</f>
        <v>0.53796</v>
      </c>
    </row>
    <row r="11" customFormat="false" ht="15" hidden="false" customHeight="false" outlineLevel="0" collapsed="false">
      <c r="A11" s="8" t="s">
        <v>33</v>
      </c>
      <c r="B11" s="9" t="str">
        <f aca="false">IF(B8&gt;=B9,"Satisfactorio",IF(B8&gt;=B10,"Alerta","Problema"))</f>
        <v>Satisfactorio</v>
      </c>
      <c r="C11" s="9" t="str">
        <f aca="false">IF(C8&gt;=C9,"Satisfactorio",IF(C8&gt;=C10,"Alerta","Problema"))</f>
        <v>Satisfactorio</v>
      </c>
      <c r="D11" s="9" t="str">
        <f aca="false">IF(D8&gt;=D9,"Satisfactorio",IF(D8&gt;=D10,"Alerta","Problema"))</f>
        <v>Satisfactorio</v>
      </c>
      <c r="E11" s="9" t="str">
        <f aca="false">IF(E8&gt;=E9,"Satisfactorio",IF(E8&gt;=E10,"Alerta","Problema"))</f>
        <v>Satisfactorio</v>
      </c>
    </row>
    <row r="12" customFormat="false" ht="15" hidden="false" customHeight="false" outlineLevel="0" collapsed="false">
      <c r="A12" s="10" t="s">
        <v>34</v>
      </c>
      <c r="B12" s="15" t="n">
        <f aca="false">Calculo!D20</f>
        <v>95500000</v>
      </c>
      <c r="C12" s="15" t="n">
        <f aca="false">Calculo!D52</f>
        <v>95500000</v>
      </c>
      <c r="D12" s="15" t="n">
        <f aca="false">Calculo!D84</f>
        <v>95500000</v>
      </c>
      <c r="E12" s="15" t="n">
        <f aca="false">Calculo!D116</f>
        <v>95500000</v>
      </c>
    </row>
    <row r="13" customFormat="false" ht="15" hidden="false" customHeight="false" outlineLevel="0" collapsed="false">
      <c r="A13" s="10" t="s">
        <v>35</v>
      </c>
      <c r="B13" s="15" t="n">
        <f aca="false">Calculo!E20</f>
        <v>84265871.5</v>
      </c>
      <c r="C13" s="15" t="n">
        <f aca="false">Calculo!E52</f>
        <v>84265871.5</v>
      </c>
      <c r="D13" s="15" t="n">
        <f aca="false">Calculo!E84</f>
        <v>84265871.5</v>
      </c>
      <c r="E13" s="15" t="n">
        <f aca="false">Calculo!E116</f>
        <v>84265871.5</v>
      </c>
    </row>
    <row r="14" customFormat="false" ht="15" hidden="false" customHeight="false" outlineLevel="0" collapsed="false">
      <c r="A14" s="10" t="s">
        <v>36</v>
      </c>
      <c r="B14" s="15" t="n">
        <f aca="false">Calculo!F20</f>
        <v>73541091.76</v>
      </c>
      <c r="C14" s="15" t="n">
        <f aca="false">Calculo!F52</f>
        <v>73541091.76</v>
      </c>
      <c r="D14" s="15" t="n">
        <f aca="false">Calculo!F84</f>
        <v>77515583.72</v>
      </c>
      <c r="E14" s="15" t="n">
        <f aca="false">Calculo!F116</f>
        <v>81541091.76</v>
      </c>
    </row>
    <row r="15" customFormat="false" ht="15" hidden="false" customHeight="false" outlineLevel="0" collapsed="false">
      <c r="A15" s="10" t="s">
        <v>37</v>
      </c>
      <c r="B15" s="15" t="n">
        <f aca="false">Calculo!L20</f>
        <v>41258690.0728571</v>
      </c>
      <c r="C15" s="15" t="n">
        <f aca="false">Calculo!L52</f>
        <v>41258690.0728571</v>
      </c>
      <c r="D15" s="15" t="n">
        <f aca="false">Calculo!L84</f>
        <v>45715364.1585714</v>
      </c>
      <c r="E15" s="15" t="n">
        <f aca="false">Calculo!L116</f>
        <v>41258690.0728571</v>
      </c>
    </row>
    <row r="16" customFormat="false" ht="15" hidden="false" customHeight="false" outlineLevel="0" collapsed="false">
      <c r="A16" s="10" t="s">
        <v>38</v>
      </c>
      <c r="B16" s="15" t="n">
        <f aca="false">Calculo!M20</f>
        <v>61941158.6664706</v>
      </c>
      <c r="C16" s="15" t="n">
        <f aca="false">Calculo!M52</f>
        <v>61941158.6664706</v>
      </c>
      <c r="D16" s="15" t="n">
        <f aca="false">Calculo!M84</f>
        <v>71116663.9605883</v>
      </c>
      <c r="E16" s="15" t="n">
        <f aca="false">Calculo!M116</f>
        <v>61941158.6664706</v>
      </c>
    </row>
    <row r="17" customFormat="false" ht="15" hidden="false" customHeight="false" outlineLevel="0" collapsed="false">
      <c r="A17" s="10" t="s">
        <v>39</v>
      </c>
      <c r="B17" s="16" t="n">
        <f aca="false">IF(AND(B12=0,B14=0),1,IF(B14=0,0,B15/B12))</f>
        <v>0.432028168302169</v>
      </c>
      <c r="C17" s="16" t="n">
        <f aca="false">IF(AND(C12=0,C14=0),1,IF(C14=0,0,C15/C12))</f>
        <v>0.432028168302169</v>
      </c>
      <c r="D17" s="16" t="n">
        <f aca="false">IF(AND(D12=0,D14=0),1,IF(D14=0,0,D15/D12))</f>
        <v>0.478694912655198</v>
      </c>
      <c r="E17" s="16" t="n">
        <f aca="false">IF(AND(E12=0,E14=0),1,IF(E14=0,0,E15/E12))</f>
        <v>0.432028168302169</v>
      </c>
    </row>
    <row r="18" customFormat="false" ht="15" hidden="false" customHeight="false" outlineLevel="0" collapsed="false">
      <c r="A18" s="10" t="s">
        <v>40</v>
      </c>
      <c r="B18" s="17" t="str">
        <f aca="false">IF(AND(B17&gt;=Parametros!$C$29,B17&lt;=Parametros!$C$31),"Satisfactorio",IF(AND(B17&gt;=Parametros!$C$30,B17&lt;Parametros!$C$29),"Alerta",IF(B17&lt;Parametros!$C$30,"Problema","Outlier")))</f>
        <v>Alerta</v>
      </c>
      <c r="C18" s="17" t="str">
        <f aca="false">IF(AND(C17&gt;=Parametros!$C$29,C17&lt;=Parametros!$C$31),"Satisfactorio",IF(AND(C17&gt;=Parametros!$C$30,C17&lt;Parametros!$C$29),"Alerta",IF(C17&lt;Parametros!$C$30,"Problema","Outlier")))</f>
        <v>Alerta</v>
      </c>
      <c r="D18" s="17" t="str">
        <f aca="false">IF(AND(D17&gt;=Parametros!$C$29,D17&lt;=Parametros!$C$31),"Satisfactorio",IF(AND(D17&gt;=Parametros!$C$30,D17&lt;Parametros!$C$29),"Alerta",IF(D17&lt;Parametros!$C$30,"Problema","Outlier")))</f>
        <v>Alerta</v>
      </c>
      <c r="E18" s="17" t="str">
        <f aca="false">IF(AND(E17&gt;=Parametros!$C$29,E17&lt;=Parametros!$C$31),"Satisfactorio",IF(AND(E17&gt;=Parametros!$C$30,E17&lt;Parametros!$C$29),"Alerta",IF(E17&lt;Parametros!$C$30,"Problema","Outlier")))</f>
        <v>Alerta</v>
      </c>
    </row>
    <row r="19" customFormat="false" ht="15" hidden="false" customHeight="false" outlineLevel="0" collapsed="false">
      <c r="A19" s="10" t="s">
        <v>41</v>
      </c>
      <c r="B19" s="16" t="n">
        <f aca="false">IF(AND(B13=0,B14=0),1,IF(B14=0,0,B16/B13))</f>
        <v>0.735068154685502</v>
      </c>
      <c r="C19" s="16" t="n">
        <f aca="false">IF(AND(C13=0,C14=0),1,IF(C14=0,0,C16/C13))</f>
        <v>0.735068154685502</v>
      </c>
      <c r="D19" s="16" t="n">
        <f aca="false">IF(AND(D13=0,D14=0),1,IF(D14=0,0,D16/D13))</f>
        <v>0.843955716527399</v>
      </c>
      <c r="E19" s="16" t="n">
        <f aca="false">IF(AND(E13=0,E14=0),1,IF(E14=0,0,E16/E13))</f>
        <v>0.735068154685502</v>
      </c>
    </row>
    <row r="20" customFormat="false" ht="15" hidden="false" customHeight="false" outlineLevel="0" collapsed="false">
      <c r="A20" s="8" t="s">
        <v>42</v>
      </c>
      <c r="B20" s="9" t="str">
        <f aca="false">IF(AND(B19&gt;=Parametros!$C$29,B19&lt;=Parametros!$C$31),"Satisfactorio",IF(AND(B19&gt;=Parametros!$C$30,B19&lt;Parametros!$C$29),"Alerta",IF(B19&lt;Parametros!$C$30,"Problema","Outlier")))</f>
        <v>Alerta</v>
      </c>
      <c r="C20" s="9" t="str">
        <f aca="false">IF(AND(C19&gt;=Parametros!$C$29,C19&lt;=Parametros!$C$31),"Satisfactorio",IF(AND(C19&gt;=Parametros!$C$30,C19&lt;Parametros!$C$29),"Alerta",IF(C19&lt;Parametros!$C$30,"Problema","Outlier")))</f>
        <v>Alerta</v>
      </c>
      <c r="D20" s="9" t="str">
        <f aca="false">IF(AND(D19&gt;=Parametros!$C$29,D19&lt;=Parametros!$C$31),"Satisfactorio",IF(AND(D19&gt;=Parametros!$C$30,D19&lt;Parametros!$C$29),"Alerta",IF(D19&lt;Parametros!$C$30,"Problema","Outlier")))</f>
        <v>Satisfactorio</v>
      </c>
      <c r="E20" s="9" t="str">
        <f aca="false">IF(AND(E19&gt;=Parametros!$C$29,E19&lt;=Parametros!$C$31),"Satisfactorio",IF(AND(E19&gt;=Parametros!$C$30,E19&lt;Parametros!$C$29),"Alerta",IF(E19&lt;Parametros!$C$30,"Problema","Outlier")))</f>
        <v>Alerta</v>
      </c>
    </row>
    <row r="21" customFormat="false" ht="15" hidden="false" customHeight="false" outlineLevel="0" collapsed="false">
      <c r="A21" s="10" t="s">
        <v>43</v>
      </c>
      <c r="B21" s="16" t="n">
        <f aca="false">IF(B14=0,IF(B12=0,1,0),B15/B14)</f>
        <v>0.561029066681579</v>
      </c>
      <c r="C21" s="16" t="n">
        <f aca="false">IF(C14=0,IF(C12=0,1,0),C15/C14)</f>
        <v>0.561029066681579</v>
      </c>
      <c r="D21" s="16" t="n">
        <f aca="false">IF(D14=0,IF(D12=0,1,0),D15/D14)</f>
        <v>0.589757078056761</v>
      </c>
      <c r="E21" s="16" t="n">
        <f aca="false">IF(E14=0,IF(E12=0,1,0),E15/E14)</f>
        <v>0.505986480954828</v>
      </c>
    </row>
    <row r="22" customFormat="false" ht="15" hidden="false" customHeight="false" outlineLevel="0" collapsed="false">
      <c r="A22" s="10" t="s">
        <v>44</v>
      </c>
      <c r="B22" s="17" t="str">
        <f aca="false">IF(AND(B21&gt;=Parametros!$C$29,B21&lt;=Parametros!$C$31),"Satisfactorio",IF(AND(B21&gt;=Parametros!$C$30,B21&lt;Parametros!$C$29),"Alerta",IF(B21&lt;Parametros!$C$30,"Problema","Outlier")))</f>
        <v>Alerta</v>
      </c>
      <c r="C22" s="17" t="str">
        <f aca="false">IF(AND(C21&gt;=Parametros!$C$29,C21&lt;=Parametros!$C$31),"Satisfactorio",IF(AND(C21&gt;=Parametros!$C$30,C21&lt;Parametros!$C$29),"Alerta",IF(C21&lt;Parametros!$C$30,"Problema","Outlier")))</f>
        <v>Alerta</v>
      </c>
      <c r="D22" s="17" t="str">
        <f aca="false">IF(AND(D21&gt;=Parametros!$C$29,D21&lt;=Parametros!$C$31),"Satisfactorio",IF(AND(D21&gt;=Parametros!$C$30,D21&lt;Parametros!$C$29),"Alerta",IF(D21&lt;Parametros!$C$30,"Problema","Outlier")))</f>
        <v>Alerta</v>
      </c>
      <c r="E22" s="17" t="str">
        <f aca="false">IF(AND(E21&gt;=Parametros!$C$29,E21&lt;=Parametros!$C$31),"Satisfactorio",IF(AND(E21&gt;=Parametros!$C$30,E21&lt;Parametros!$C$29),"Alerta",IF(E21&lt;Parametros!$C$30,"Problema","Outlier")))</f>
        <v>Alerta</v>
      </c>
    </row>
    <row r="23" customFormat="false" ht="15" hidden="false" customHeight="false" outlineLevel="0" collapsed="false">
      <c r="A23" s="10" t="s">
        <v>45</v>
      </c>
      <c r="B23" s="16" t="n">
        <f aca="false">IF(B14=0,IF(B13=0,1,0),B16/B14)</f>
        <v>0.842265965653793</v>
      </c>
      <c r="C23" s="16" t="n">
        <f aca="false">IF(C14=0,IF(C13=0,1,0),C16/C14)</f>
        <v>0.842265965653793</v>
      </c>
      <c r="D23" s="16" t="n">
        <f aca="false">IF(D14=0,IF(D13=0,1,0),D16/D14)</f>
        <v>0.91744989262384</v>
      </c>
      <c r="E23" s="16" t="n">
        <f aca="false">IF(E14=0,IF(E13=0,1,0),E16/E14)</f>
        <v>0.759631215740673</v>
      </c>
    </row>
    <row r="24" customFormat="false" ht="15" hidden="false" customHeight="false" outlineLevel="0" collapsed="false">
      <c r="A24" s="8" t="s">
        <v>46</v>
      </c>
      <c r="B24" s="9" t="str">
        <f aca="false">IF(AND(B23&gt;=Parametros!$C$29,B23&lt;=Parametros!$C$31),"Satisfactorio",IF(AND(B23&gt;=Parametros!$C$30,B23&lt;Parametros!$C$29),"Alerta",IF(B23&lt;Parametros!$C$30,"Problema","Outlier")))</f>
        <v>Satisfactorio</v>
      </c>
      <c r="C24" s="9" t="str">
        <f aca="false">IF(AND(C23&gt;=Parametros!$C$29,C23&lt;=Parametros!$C$31),"Satisfactorio",IF(AND(C23&gt;=Parametros!$C$30,C23&lt;Parametros!$C$29),"Alerta",IF(C23&lt;Parametros!$C$30,"Problema","Outlier")))</f>
        <v>Satisfactorio</v>
      </c>
      <c r="D24" s="9" t="str">
        <f aca="false">IF(AND(D23&gt;=Parametros!$C$29,D23&lt;=Parametros!$C$31),"Satisfactorio",IF(AND(D23&gt;=Parametros!$C$30,D23&lt;Parametros!$C$29),"Alerta",IF(D23&lt;Parametros!$C$30,"Problema","Outlier")))</f>
        <v>Satisfactorio</v>
      </c>
      <c r="E24" s="9" t="str">
        <f aca="false">IF(AND(E23&gt;=Parametros!$C$29,E23&lt;=Parametros!$C$31),"Satisfactorio",IF(AND(E23&gt;=Parametros!$C$30,E23&lt;Parametros!$C$29),"Alerta",IF(E23&lt;Parametros!$C$30,"Problema","Outlier")))</f>
        <v>Alerta</v>
      </c>
    </row>
    <row r="25" customFormat="false" ht="15" hidden="false" customHeight="false" outlineLevel="0" collapsed="false">
      <c r="A25" s="10" t="s">
        <v>47</v>
      </c>
      <c r="B25" s="17" t="str">
        <f aca="false">IF(Parametros!$C$9="Etapa 3",IF(Parametros!$C$10&lt;=Parametros!$C$11,"Satisfactorio",IF(Parametros!$C$10&lt;=Parametros!$C$12,"Alerta","Problema")),"N/A")</f>
        <v>N/A</v>
      </c>
      <c r="C25" s="17" t="str">
        <f aca="false">IF(Parametros!$C$9="Etapa 3",IF(Parametros!$C$10&lt;=Parametros!$C$11,"Satisfactorio",IF(Parametros!$C$10&lt;=Parametros!$C$12,"Alerta","Problema")),"N/A")</f>
        <v>N/A</v>
      </c>
      <c r="D25" s="17" t="str">
        <f aca="false">IF(Parametros!$C$9="Etapa 3",IF(Parametros!$C$10&lt;=Parametros!$C$11,"Satisfactorio",IF(Parametros!$C$10&lt;=Parametros!$C$12,"Alerta","Problema")),"N/A")</f>
        <v>N/A</v>
      </c>
      <c r="E25" s="17" t="str">
        <f aca="false">IF(Parametros!$C$9="Etapa 3",IF(Parametros!$C$10&lt;=Parametros!$C$11,"Satisfactorio",IF(Parametros!$C$10&lt;=Parametros!$C$12,"Alerta","Problema")),"N/A")</f>
        <v>N/A</v>
      </c>
    </row>
    <row r="26" customFormat="false" ht="15" hidden="false" customHeight="false" outlineLevel="0" collapsed="false">
      <c r="A26" s="8" t="s">
        <v>48</v>
      </c>
      <c r="B26" s="18" t="n">
        <f aca="false">ROUND(IF(Parametros!$C$9="Etapa 3",(INDEX(Parametros!$C$17:$D$17,1,Parametros!$C$24)*IF(B11="Satisfactorio",3,IF(B11="Alerta",2,1))+INDEX(Parametros!$C$18:$D$18,1,Parametros!$C$24)*IF(B18="Satisfactorio",3,IF(B18="Alerta",2,1))+INDEX(Parametros!$C$19:$D$19,1,Parametros!$C$24)*IF(B20="Satisfactorio",3,IF(B20="Alerta",2,1))+INDEX(Parametros!$C$20:$D$20,1,Parametros!$C$24)*IF(B22="Satisfactorio",3,IF(B22="Alerta",2,1))+INDEX(Parametros!$C$21:$D$21,1,Parametros!$C$24)*IF(B24="Satisfactorio",3,IF(B24="Alerta",2,1)))*0.8+INDEX(Parametros!$C$22:$D$22,1,Parametros!$C$24)*IF(B25="Satisfactorio",3,IF(B25="Alerta",2,1)),INDEX(Parametros!$C$17:$D$17,1,Parametros!$C$24)*IF(B11="Satisfactorio",3,IF(B11="Alerta",2,1))+INDEX(Parametros!$C$18:$D$18,1,Parametros!$C$24)*IF(B18="Satisfactorio",3,IF(B18="Alerta",2,1))+INDEX(Parametros!$C$19:$D$19,1,Parametros!$C$24)*IF(B20="Satisfactorio",3,IF(B20="Alerta",2,1))+INDEX(Parametros!$C$20:$D$20,1,Parametros!$C$24)*IF(B22="Satisfactorio",3,IF(B22="Alerta",2,1))+INDEX(Parametros!$C$21:$D$21,1,Parametros!$C$24)*IF(B24="Satisfactorio",3,IF(B24="Alerta",2,1))),2)</f>
        <v>2.7</v>
      </c>
      <c r="C26" s="18" t="n">
        <f aca="false">ROUND(IF(Parametros!$C$9="Etapa 3",(INDEX(Parametros!$C$17:$D$17,1,Parametros!$C$24)*IF(C11="Satisfactorio",3,IF(C11="Alerta",2,1))+INDEX(Parametros!$C$18:$D$18,1,Parametros!$C$24)*IF(C18="Satisfactorio",3,IF(C18="Alerta",2,1))+INDEX(Parametros!$C$19:$D$19,1,Parametros!$C$24)*IF(C20="Satisfactorio",3,IF(C20="Alerta",2,1))+INDEX(Parametros!$C$20:$D$20,1,Parametros!$C$24)*IF(C22="Satisfactorio",3,IF(C22="Alerta",2,1))+INDEX(Parametros!$C$21:$D$21,1,Parametros!$C$24)*IF(C24="Satisfactorio",3,IF(C24="Alerta",2,1)))*0.8+INDEX(Parametros!$C$22:$D$22,1,Parametros!$C$24)*IF(C25="Satisfactorio",3,IF(C25="Alerta",2,1)),INDEX(Parametros!$C$17:$D$17,1,Parametros!$C$24)*IF(C11="Satisfactorio",3,IF(C11="Alerta",2,1))+INDEX(Parametros!$C$18:$D$18,1,Parametros!$C$24)*IF(C18="Satisfactorio",3,IF(C18="Alerta",2,1))+INDEX(Parametros!$C$19:$D$19,1,Parametros!$C$24)*IF(C20="Satisfactorio",3,IF(C20="Alerta",2,1))+INDEX(Parametros!$C$20:$D$20,1,Parametros!$C$24)*IF(C22="Satisfactorio",3,IF(C22="Alerta",2,1))+INDEX(Parametros!$C$21:$D$21,1,Parametros!$C$24)*IF(C24="Satisfactorio",3,IF(C24="Alerta",2,1))),2)</f>
        <v>2.7</v>
      </c>
      <c r="D26" s="18" t="n">
        <f aca="false">ROUND(IF(Parametros!$C$9="Etapa 3",(INDEX(Parametros!$C$17:$D$17,1,Parametros!$C$24)*IF(D11="Satisfactorio",3,IF(D11="Alerta",2,1))+INDEX(Parametros!$C$18:$D$18,1,Parametros!$C$24)*IF(D18="Satisfactorio",3,IF(D18="Alerta",2,1))+INDEX(Parametros!$C$19:$D$19,1,Parametros!$C$24)*IF(D20="Satisfactorio",3,IF(D20="Alerta",2,1))+INDEX(Parametros!$C$20:$D$20,1,Parametros!$C$24)*IF(D22="Satisfactorio",3,IF(D22="Alerta",2,1))+INDEX(Parametros!$C$21:$D$21,1,Parametros!$C$24)*IF(D24="Satisfactorio",3,IF(D24="Alerta",2,1)))*0.8+INDEX(Parametros!$C$22:$D$22,1,Parametros!$C$24)*IF(D25="Satisfactorio",3,IF(D25="Alerta",2,1)),INDEX(Parametros!$C$17:$D$17,1,Parametros!$C$24)*IF(D11="Satisfactorio",3,IF(D11="Alerta",2,1))+INDEX(Parametros!$C$18:$D$18,1,Parametros!$C$24)*IF(D18="Satisfactorio",3,IF(D18="Alerta",2,1))+INDEX(Parametros!$C$19:$D$19,1,Parametros!$C$24)*IF(D20="Satisfactorio",3,IF(D20="Alerta",2,1))+INDEX(Parametros!$C$20:$D$20,1,Parametros!$C$24)*IF(D22="Satisfactorio",3,IF(D22="Alerta",2,1))+INDEX(Parametros!$C$21:$D$21,1,Parametros!$C$24)*IF(D24="Satisfactorio",3,IF(D24="Alerta",2,1))),2)</f>
        <v>3</v>
      </c>
      <c r="E26" s="18" t="n">
        <f aca="false">ROUND(IF(Parametros!$C$9="Etapa 3",(INDEX(Parametros!$C$17:$D$17,1,Parametros!$C$24)*IF(E11="Satisfactorio",3,IF(E11="Alerta",2,1))+INDEX(Parametros!$C$18:$D$18,1,Parametros!$C$24)*IF(E18="Satisfactorio",3,IF(E18="Alerta",2,1))+INDEX(Parametros!$C$19:$D$19,1,Parametros!$C$24)*IF(E20="Satisfactorio",3,IF(E20="Alerta",2,1))+INDEX(Parametros!$C$20:$D$20,1,Parametros!$C$24)*IF(E22="Satisfactorio",3,IF(E22="Alerta",2,1))+INDEX(Parametros!$C$21:$D$21,1,Parametros!$C$24)*IF(E24="Satisfactorio",3,IF(E24="Alerta",2,1)))*0.8+INDEX(Parametros!$C$22:$D$22,1,Parametros!$C$24)*IF(E25="Satisfactorio",3,IF(E25="Alerta",2,1)),INDEX(Parametros!$C$17:$D$17,1,Parametros!$C$24)*IF(E11="Satisfactorio",3,IF(E11="Alerta",2,1))+INDEX(Parametros!$C$18:$D$18,1,Parametros!$C$24)*IF(E18="Satisfactorio",3,IF(E18="Alerta",2,1))+INDEX(Parametros!$C$19:$D$19,1,Parametros!$C$24)*IF(E20="Satisfactorio",3,IF(E20="Alerta",2,1))+INDEX(Parametros!$C$20:$D$20,1,Parametros!$C$24)*IF(E22="Satisfactorio",3,IF(E22="Alerta",2,1))+INDEX(Parametros!$C$21:$D$21,1,Parametros!$C$24)*IF(E24="Satisfactorio",3,IF(E24="Alerta",2,1))),2)</f>
        <v>2.4</v>
      </c>
    </row>
    <row r="27" customFormat="false" ht="15" hidden="false" customHeight="false" outlineLevel="0" collapsed="false">
      <c r="A27" s="8" t="s">
        <v>49</v>
      </c>
      <c r="B27" s="9" t="str">
        <f aca="false">IF(B26&gt;=Parametros!$C$27,"Satisfactorio",IF(B26&gt;=Parametros!$C$28,"Alerta","Problema"))</f>
        <v>Satisfactorio</v>
      </c>
      <c r="C27" s="9" t="str">
        <f aca="false">IF(C26&gt;=Parametros!$C$27,"Satisfactorio",IF(C26&gt;=Parametros!$C$28,"Alerta","Problema"))</f>
        <v>Satisfactorio</v>
      </c>
      <c r="D27" s="9" t="str">
        <f aca="false">IF(D26&gt;=Parametros!$C$27,"Satisfactorio",IF(D26&gt;=Parametros!$C$28,"Alerta","Problema"))</f>
        <v>Satisfactorio</v>
      </c>
      <c r="E27" s="9" t="str">
        <f aca="false">IF(E26&gt;=Parametros!$C$27,"Satisfactorio",IF(E26&gt;=Parametros!$C$28,"Alerta","Problema"))</f>
        <v>Alerta</v>
      </c>
    </row>
    <row r="28" customFormat="false" ht="23.85" hidden="false" customHeight="false" outlineLevel="0" collapsed="false">
      <c r="A28" s="10" t="s">
        <v>50</v>
      </c>
      <c r="B28" s="15" t="n">
        <f aca="false">MAX(0,B16/Parametros!$C$29-B14)</f>
        <v>3885356.57308824</v>
      </c>
      <c r="C28" s="15" t="n">
        <f aca="false">MAX(0,C16/Parametros!$C$29-C14)</f>
        <v>3885356.57308824</v>
      </c>
      <c r="D28" s="15" t="n">
        <f aca="false">MAX(0,D16/Parametros!$C$29-D14)</f>
        <v>11380246.2307353</v>
      </c>
      <c r="E28" s="15" t="n">
        <f aca="false">MAX(0,E16/Parametros!$C$29-E14)</f>
        <v>0</v>
      </c>
    </row>
    <row r="29" customFormat="false" ht="23.85" hidden="false" customHeight="false" outlineLevel="0" collapsed="false">
      <c r="A29" s="10" t="s">
        <v>51</v>
      </c>
      <c r="B29" s="15" t="n">
        <f aca="false">MAX(0,Parametros!$C$29*B13-B16)</f>
        <v>5471538.53352941</v>
      </c>
      <c r="C29" s="15" t="n">
        <f aca="false">MAX(0,Parametros!$C$29*C13-C16)</f>
        <v>5471538.53352941</v>
      </c>
      <c r="D29" s="15" t="n">
        <f aca="false">MAX(0,Parametros!$C$29*D13-D16)</f>
        <v>0</v>
      </c>
      <c r="E29" s="15" t="n">
        <f aca="false">MAX(0,Parametros!$C$29*E13-E16)</f>
        <v>5471538.53352941</v>
      </c>
    </row>
    <row r="31" customFormat="false" ht="23.85" hidden="false" customHeight="false" outlineLevel="0" collapsed="false">
      <c r="A31" s="8" t="s">
        <v>52</v>
      </c>
      <c r="B31" s="19" t="str">
        <f aca="false">IF(AND(B26=2.7,ROUND(B19,2)=0.74,ROUND(B23,2)=0.84),"OK – reproduce el PMR","Revisar")</f>
        <v>OK – reproduce el PMR</v>
      </c>
    </row>
    <row r="32" customFormat="false" ht="23.85" hidden="false" customHeight="false" outlineLevel="0" collapsed="false">
      <c r="A32" s="10" t="s">
        <v>53</v>
      </c>
      <c r="B32" s="10" t="s">
        <v>54</v>
      </c>
    </row>
  </sheetData>
  <conditionalFormatting sqref="B5:E31">
    <cfRule type="cellIs" priority="2" operator="equal" aboveAverage="0" equalAverage="0" bottom="0" percent="0" rank="0" text="" dxfId="0">
      <formula>"Satisfactorio"</formula>
    </cfRule>
    <cfRule type="cellIs" priority="3" operator="equal" aboveAverage="0" equalAverage="0" bottom="0" percent="0" rank="0" text="" dxfId="1">
      <formula>"Alerta"</formula>
    </cfRule>
    <cfRule type="cellIs" priority="4" operator="equal" aboveAverage="0" equalAverage="0" bottom="0" percent="0" rank="0" text="" dxfId="2">
      <formula>"Problema"</formula>
    </cfRule>
    <cfRule type="cellIs" priority="5" operator="equal" aboveAverage="0" equalAverage="0" bottom="0" percent="0" rank="0" text="" dxfId="2">
      <formula>"Outlier"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5" topLeftCell="C16" activePane="bottomRight" state="frozen"/>
      <selection pane="topLeft" activeCell="A1" activeCellId="0" sqref="A1"/>
      <selection pane="topRight" activeCell="C1" activeCellId="0" sqref="C1"/>
      <selection pane="bottomLeft" activeCell="A16" activeCellId="0" sqref="A1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8" min="3" style="0" width="16"/>
  </cols>
  <sheetData>
    <row r="1" customFormat="false" ht="17.35" hidden="false" customHeight="false" outlineLevel="0" collapsed="false">
      <c r="A1" s="5" t="s">
        <v>55</v>
      </c>
    </row>
    <row r="2" customFormat="false" ht="15" hidden="false" customHeight="false" outlineLevel="0" collapsed="false">
      <c r="A2" s="6" t="s">
        <v>56</v>
      </c>
    </row>
    <row r="4" customFormat="false" ht="23.85" hidden="false" customHeight="false" outlineLevel="0" collapsed="false">
      <c r="B4" s="7" t="s">
        <v>57</v>
      </c>
      <c r="C4" s="7" t="s">
        <v>58</v>
      </c>
      <c r="D4" s="7" t="s">
        <v>24</v>
      </c>
      <c r="E4" s="7" t="s">
        <v>25</v>
      </c>
      <c r="F4" s="7" t="s">
        <v>26</v>
      </c>
    </row>
    <row r="5" customFormat="false" ht="23.85" hidden="false" customHeight="false" outlineLevel="0" collapsed="false">
      <c r="B5" s="8" t="s">
        <v>59</v>
      </c>
      <c r="C5" s="20" t="s">
        <v>60</v>
      </c>
      <c r="D5" s="21" t="s">
        <v>61</v>
      </c>
      <c r="E5" s="21" t="s">
        <v>62</v>
      </c>
      <c r="F5" s="21" t="s">
        <v>63</v>
      </c>
    </row>
    <row r="6" customFormat="false" ht="60" hidden="false" customHeight="true" outlineLevel="0" collapsed="false">
      <c r="B6" s="8" t="s">
        <v>64</v>
      </c>
      <c r="C6" s="20" t="s">
        <v>65</v>
      </c>
      <c r="D6" s="21" t="s">
        <v>66</v>
      </c>
      <c r="E6" s="21" t="s">
        <v>67</v>
      </c>
      <c r="F6" s="21" t="s">
        <v>68</v>
      </c>
    </row>
    <row r="7" customFormat="false" ht="15" hidden="false" customHeight="false" outlineLevel="0" collapsed="false">
      <c r="B7" s="8" t="s">
        <v>28</v>
      </c>
      <c r="C7" s="22" t="n">
        <v>46203</v>
      </c>
      <c r="D7" s="23" t="n">
        <v>46387</v>
      </c>
      <c r="E7" s="23" t="n">
        <v>46387</v>
      </c>
      <c r="F7" s="23" t="n">
        <v>46387</v>
      </c>
    </row>
    <row r="8" customFormat="false" ht="15" hidden="false" customHeight="false" outlineLevel="0" collapsed="false">
      <c r="B8" s="8" t="s">
        <v>69</v>
      </c>
      <c r="C8" s="24" t="n">
        <v>81900000</v>
      </c>
      <c r="D8" s="25" t="n">
        <v>81900000</v>
      </c>
      <c r="E8" s="25" t="n">
        <v>81900000</v>
      </c>
      <c r="F8" s="25" t="n">
        <v>81900000</v>
      </c>
    </row>
    <row r="9" customFormat="false" ht="15" hidden="false" customHeight="false" outlineLevel="0" collapsed="false">
      <c r="B9" s="8" t="s">
        <v>70</v>
      </c>
      <c r="C9" s="26" t="n">
        <v>0.51</v>
      </c>
      <c r="D9" s="27"/>
      <c r="E9" s="27"/>
      <c r="F9" s="27"/>
      <c r="G9" s="6" t="s">
        <v>71</v>
      </c>
    </row>
    <row r="10" customFormat="false" ht="15" hidden="false" customHeight="false" outlineLevel="0" collapsed="false">
      <c r="B10" s="8" t="s">
        <v>72</v>
      </c>
      <c r="C10" s="26" t="n">
        <v>0.44</v>
      </c>
      <c r="D10" s="27"/>
      <c r="E10" s="27"/>
      <c r="F10" s="27"/>
    </row>
    <row r="13" customFormat="false" ht="15" hidden="false" customHeight="false" outlineLevel="0" collapsed="false">
      <c r="B13" s="28" t="s">
        <v>73</v>
      </c>
    </row>
    <row r="14" customFormat="false" ht="15" hidden="false" customHeight="true" outlineLevel="0" collapsed="false">
      <c r="C14" s="29" t="s">
        <v>24</v>
      </c>
      <c r="D14" s="29"/>
      <c r="E14" s="29" t="s">
        <v>25</v>
      </c>
      <c r="F14" s="29"/>
      <c r="G14" s="29" t="s">
        <v>26</v>
      </c>
      <c r="H14" s="29"/>
    </row>
    <row r="15" customFormat="false" ht="23.85" hidden="false" customHeight="false" outlineLevel="0" collapsed="false">
      <c r="A15" s="7" t="s">
        <v>74</v>
      </c>
      <c r="B15" s="7" t="s">
        <v>75</v>
      </c>
      <c r="C15" s="7" t="s">
        <v>76</v>
      </c>
      <c r="D15" s="7" t="s">
        <v>77</v>
      </c>
      <c r="E15" s="7" t="s">
        <v>76</v>
      </c>
      <c r="F15" s="7" t="s">
        <v>77</v>
      </c>
      <c r="G15" s="7" t="s">
        <v>76</v>
      </c>
      <c r="H15" s="7" t="s">
        <v>77</v>
      </c>
    </row>
    <row r="16" customFormat="false" ht="23.85" hidden="false" customHeight="false" outlineLevel="0" collapsed="false">
      <c r="A16" s="30" t="n">
        <v>1</v>
      </c>
      <c r="B16" s="31" t="str">
        <f aca="false">Fisico!B5</f>
        <v>P1.1. Plataformas de datos policiales integradas e interoperables</v>
      </c>
      <c r="C16" s="32"/>
      <c r="D16" s="33"/>
      <c r="E16" s="32"/>
      <c r="F16" s="33"/>
      <c r="G16" s="32"/>
      <c r="H16" s="33"/>
    </row>
    <row r="17" customFormat="false" ht="23.85" hidden="false" customHeight="false" outlineLevel="0" collapsed="false">
      <c r="A17" s="30" t="n">
        <v>2</v>
      </c>
      <c r="B17" s="31" t="str">
        <f aca="false">Fisico!B8</f>
        <v>P1.2. Sistema de información delictual fortalecidos y en funcionamiento</v>
      </c>
      <c r="C17" s="32"/>
      <c r="D17" s="33"/>
      <c r="E17" s="32"/>
      <c r="F17" s="33"/>
      <c r="G17" s="32"/>
      <c r="H17" s="33"/>
    </row>
    <row r="18" customFormat="false" ht="23.85" hidden="false" customHeight="false" outlineLevel="0" collapsed="false">
      <c r="A18" s="30" t="n">
        <v>3</v>
      </c>
      <c r="B18" s="31" t="str">
        <f aca="false">Fisico!B11</f>
        <v>P.1.3. Departamentos de la FP capacitados en análisis criminal y monitoreo de dinámicas delictivas</v>
      </c>
      <c r="C18" s="32"/>
      <c r="D18" s="33"/>
      <c r="E18" s="32"/>
      <c r="F18" s="33"/>
      <c r="G18" s="32"/>
      <c r="H18" s="33"/>
    </row>
    <row r="19" customFormat="false" ht="23.85" hidden="false" customHeight="false" outlineLevel="0" collapsed="false">
      <c r="A19" s="30" t="n">
        <v>4</v>
      </c>
      <c r="B19" s="31" t="str">
        <f aca="false">Fisico!B14</f>
        <v>P.1.4. Estrategias policiales basadas en evidencia diseñadas e implementadas</v>
      </c>
      <c r="C19" s="32"/>
      <c r="D19" s="33"/>
      <c r="E19" s="32"/>
      <c r="F19" s="33"/>
      <c r="G19" s="32"/>
      <c r="H19" s="33"/>
    </row>
    <row r="20" customFormat="false" ht="23.85" hidden="false" customHeight="false" outlineLevel="0" collapsed="false">
      <c r="A20" s="30" t="n">
        <v>5</v>
      </c>
      <c r="B20" s="31" t="str">
        <f aca="false">Fisico!B17</f>
        <v>P.1.5. Evaluación de impacto de estrategias policiales basadas en evidencia diseñada e implementada</v>
      </c>
      <c r="C20" s="32"/>
      <c r="D20" s="33"/>
      <c r="E20" s="32"/>
      <c r="F20" s="33"/>
      <c r="G20" s="32"/>
      <c r="H20" s="33"/>
    </row>
    <row r="21" customFormat="false" ht="23.85" hidden="false" customHeight="false" outlineLevel="0" collapsed="false">
      <c r="A21" s="30" t="n">
        <v>6</v>
      </c>
      <c r="B21" s="31" t="str">
        <f aca="false">Fisico!B20</f>
        <v>P.1.6. Sistema de procesamiento de quejas ciudadanas y procesos disciplinarios, fortalecido</v>
      </c>
      <c r="C21" s="32"/>
      <c r="D21" s="33"/>
      <c r="E21" s="32"/>
      <c r="F21" s="33"/>
      <c r="G21" s="32"/>
      <c r="H21" s="33"/>
    </row>
    <row r="22" customFormat="false" ht="23.85" hidden="false" customHeight="false" outlineLevel="0" collapsed="false">
      <c r="A22" s="30" t="n">
        <v>7</v>
      </c>
      <c r="B22" s="31" t="str">
        <f aca="false">Fisico!B23</f>
        <v>P.1.7. Delegaciones diseñadas, construida, equipadas y operando bajo el enfoque de policía comunitaria</v>
      </c>
      <c r="C22" s="32"/>
      <c r="D22" s="33"/>
      <c r="E22" s="32" t="n">
        <v>3</v>
      </c>
      <c r="F22" s="33" t="n">
        <v>3974491.96</v>
      </c>
      <c r="G22" s="32"/>
      <c r="H22" s="33" t="n">
        <v>3000000</v>
      </c>
    </row>
    <row r="23" customFormat="false" ht="23.85" hidden="false" customHeight="false" outlineLevel="0" collapsed="false">
      <c r="A23" s="30" t="n">
        <v>8</v>
      </c>
      <c r="B23" s="31" t="str">
        <f aca="false">Fisico!B26</f>
        <v>Centro de Mando y Control Policial (CMCP) diseñado, construido, equipado y en funcionamiento</v>
      </c>
      <c r="C23" s="32"/>
      <c r="D23" s="33"/>
      <c r="E23" s="32"/>
      <c r="F23" s="33"/>
      <c r="G23" s="32"/>
      <c r="H23" s="33"/>
    </row>
    <row r="24" customFormat="false" ht="23.85" hidden="false" customHeight="false" outlineLevel="0" collapsed="false">
      <c r="A24" s="30" t="n">
        <v>9</v>
      </c>
      <c r="B24" s="31" t="str">
        <f aca="false">Fisico!B29</f>
        <v>P.2.1. Modelo de atención de los CCP actualizado, fortalecido, y en funcionamiento en los CCPs de la red</v>
      </c>
      <c r="C24" s="32"/>
      <c r="D24" s="33"/>
      <c r="E24" s="32"/>
      <c r="F24" s="33"/>
      <c r="G24" s="32"/>
      <c r="H24" s="33"/>
    </row>
    <row r="25" customFormat="false" ht="23.85" hidden="false" customHeight="false" outlineLevel="0" collapsed="false">
      <c r="A25" s="30" t="n">
        <v>10</v>
      </c>
      <c r="B25" s="31" t="str">
        <f aca="false">Fisico!B32</f>
        <v>P.2.2. Modelo de gestión de los CCP homologado, fortalecido y en funcionamiento en los CCPs de la red</v>
      </c>
      <c r="C25" s="32"/>
      <c r="D25" s="33"/>
      <c r="E25" s="32"/>
      <c r="F25" s="33"/>
      <c r="G25" s="32"/>
      <c r="H25" s="33"/>
    </row>
    <row r="26" customFormat="false" ht="35.05" hidden="false" customHeight="false" outlineLevel="0" collapsed="false">
      <c r="A26" s="30" t="n">
        <v>11</v>
      </c>
      <c r="B26" s="31" t="str">
        <f aca="false">Fisico!B35</f>
        <v>P.2.3. Municipalidades y grupos de sociedad civil capacitados y utilizando las nuevas competencias adquiridas en prevención de violencia</v>
      </c>
      <c r="C26" s="32"/>
      <c r="D26" s="33"/>
      <c r="E26" s="32"/>
      <c r="F26" s="33"/>
      <c r="G26" s="32"/>
      <c r="H26" s="33"/>
    </row>
    <row r="27" customFormat="false" ht="23.85" hidden="false" customHeight="false" outlineLevel="0" collapsed="false">
      <c r="A27" s="30" t="n">
        <v>12</v>
      </c>
      <c r="B27" s="31" t="str">
        <f aca="false">Fisico!B38</f>
        <v>P.2.4. Estrategia de comunicación social de los CCP, diseñada e implementada</v>
      </c>
      <c r="C27" s="32"/>
      <c r="D27" s="33"/>
      <c r="E27" s="32"/>
      <c r="F27" s="33"/>
      <c r="G27" s="32"/>
      <c r="H27" s="33"/>
    </row>
    <row r="28" customFormat="false" ht="23.85" hidden="false" customHeight="false" outlineLevel="0" collapsed="false">
      <c r="A28" s="30" t="n">
        <v>13</v>
      </c>
      <c r="B28" s="31" t="str">
        <f aca="false">Fisico!B41</f>
        <v>P.2.5. Sistema de información integrado de los CCP, desarrollado e implementado</v>
      </c>
      <c r="C28" s="32"/>
      <c r="D28" s="33"/>
      <c r="E28" s="32"/>
      <c r="F28" s="33"/>
      <c r="G28" s="32"/>
      <c r="H28" s="33"/>
    </row>
    <row r="29" customFormat="false" ht="23.85" hidden="false" customHeight="false" outlineLevel="0" collapsed="false">
      <c r="A29" s="30" t="n">
        <v>14</v>
      </c>
      <c r="B29" s="31" t="str">
        <f aca="false">Fisico!B44</f>
        <v>P.2.6. Evaluación de impacto de los CCP diseñada e implementada</v>
      </c>
      <c r="C29" s="32"/>
      <c r="D29" s="33"/>
      <c r="E29" s="32"/>
      <c r="F29" s="33"/>
      <c r="G29" s="32"/>
      <c r="H29" s="33"/>
    </row>
    <row r="30" customFormat="false" ht="23.85" hidden="false" customHeight="false" outlineLevel="0" collapsed="false">
      <c r="A30" s="30" t="n">
        <v>15</v>
      </c>
      <c r="B30" s="31" t="str">
        <f aca="false">Fisico!B47</f>
        <v>P.2.7. CCP diseñados, construidos, equipados y en funcionamiento</v>
      </c>
      <c r="C30" s="32"/>
      <c r="D30" s="33"/>
      <c r="E30" s="32"/>
      <c r="F30" s="33"/>
      <c r="G30" s="32"/>
      <c r="H30" s="33" t="n">
        <v>5000000</v>
      </c>
    </row>
    <row r="33" customFormat="false" ht="15" hidden="false" customHeight="false" outlineLevel="0" collapsed="false">
      <c r="B33" s="28" t="s">
        <v>78</v>
      </c>
    </row>
    <row r="34" customFormat="false" ht="35.05" hidden="false" customHeight="false" outlineLevel="0" collapsed="false">
      <c r="A34" s="7" t="s">
        <v>79</v>
      </c>
      <c r="B34" s="7" t="s">
        <v>80</v>
      </c>
      <c r="C34" s="7" t="s">
        <v>24</v>
      </c>
      <c r="D34" s="7" t="s">
        <v>25</v>
      </c>
      <c r="E34" s="7" t="s">
        <v>26</v>
      </c>
    </row>
    <row r="35" customFormat="false" ht="15" hidden="false" customHeight="false" outlineLevel="0" collapsed="false">
      <c r="A35" s="34" t="n">
        <f aca="false">Hitos!A5</f>
        <v>7</v>
      </c>
      <c r="B35" s="31" t="str">
        <f aca="false">Hitos!B5</f>
        <v>Delegaciones Policiales diseñadas</v>
      </c>
      <c r="C35" s="35"/>
      <c r="D35" s="35"/>
      <c r="E35" s="35"/>
    </row>
    <row r="36" customFormat="false" ht="15" hidden="false" customHeight="false" outlineLevel="0" collapsed="false">
      <c r="A36" s="34" t="n">
        <f aca="false">Hitos!A8</f>
        <v>7</v>
      </c>
      <c r="B36" s="31" t="str">
        <f aca="false">Hitos!B8</f>
        <v>Delegaciones Policiales construidas, equipadas y operando</v>
      </c>
      <c r="C36" s="35"/>
      <c r="D36" s="35" t="n">
        <v>3</v>
      </c>
      <c r="E36" s="35"/>
    </row>
    <row r="37" customFormat="false" ht="15" hidden="false" customHeight="false" outlineLevel="0" collapsed="false">
      <c r="A37" s="34" t="n">
        <f aca="false">Hitos!A11</f>
        <v>15</v>
      </c>
      <c r="B37" s="31" t="str">
        <f aca="false">Hitos!B11</f>
        <v>CCPs diseñados</v>
      </c>
      <c r="C37" s="35"/>
      <c r="D37" s="35"/>
      <c r="E37" s="35"/>
    </row>
    <row r="38" customFormat="false" ht="15" hidden="false" customHeight="false" outlineLevel="0" collapsed="false">
      <c r="A38" s="34" t="n">
        <f aca="false">Hitos!A14</f>
        <v>15</v>
      </c>
      <c r="B38" s="31" t="str">
        <f aca="false">Hitos!B14</f>
        <v>CCPs construidos, equipados y en funcionamiento</v>
      </c>
      <c r="C38" s="35"/>
      <c r="D38" s="35"/>
      <c r="E38" s="35"/>
    </row>
    <row r="39" customFormat="false" ht="15" hidden="false" customHeight="false" outlineLevel="0" collapsed="false">
      <c r="A39" s="34" t="n">
        <f aca="false">Hitos!A17</f>
        <v>15</v>
      </c>
      <c r="B39" s="31" t="str">
        <f aca="false">Hitos!B17</f>
        <v>Techados de Skate Parks Garabito y Santa Cruz construidos</v>
      </c>
      <c r="C39" s="35"/>
      <c r="D39" s="35"/>
      <c r="E39" s="35"/>
    </row>
    <row r="41" customFormat="false" ht="15" hidden="false" customHeight="false" outlineLevel="0" collapsed="false">
      <c r="B41" s="6" t="s">
        <v>81</v>
      </c>
    </row>
  </sheetData>
  <mergeCells count="3">
    <mergeCell ref="C14:D14"/>
    <mergeCell ref="E14:F14"/>
    <mergeCell ref="G14:H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8"/>
    <col collapsed="false" customWidth="true" hidden="false" outlineLevel="0" max="5" min="5" style="0" width="50"/>
  </cols>
  <sheetData>
    <row r="2" customFormat="false" ht="17.35" hidden="false" customHeight="false" outlineLevel="0" collapsed="false">
      <c r="B2" s="5" t="s">
        <v>82</v>
      </c>
    </row>
    <row r="4" customFormat="false" ht="15" hidden="false" customHeight="false" outlineLevel="0" collapsed="false">
      <c r="B4" s="36" t="s">
        <v>83</v>
      </c>
      <c r="C4" s="37" t="s">
        <v>84</v>
      </c>
      <c r="E4" s="6" t="s">
        <v>85</v>
      </c>
    </row>
    <row r="5" customFormat="false" ht="15" hidden="false" customHeight="false" outlineLevel="0" collapsed="false">
      <c r="B5" s="36" t="s">
        <v>86</v>
      </c>
      <c r="C5" s="33" t="n">
        <v>100000000</v>
      </c>
      <c r="E5" s="6" t="s">
        <v>87</v>
      </c>
    </row>
    <row r="6" customFormat="false" ht="15" hidden="false" customHeight="false" outlineLevel="0" collapsed="false">
      <c r="B6" s="36" t="s">
        <v>88</v>
      </c>
      <c r="C6" s="35" t="n">
        <v>2026</v>
      </c>
      <c r="E6" s="6" t="s">
        <v>89</v>
      </c>
    </row>
    <row r="7" customFormat="false" ht="15" hidden="false" customHeight="false" outlineLevel="0" collapsed="false">
      <c r="B7" s="36" t="s">
        <v>90</v>
      </c>
      <c r="C7" s="38" t="n">
        <v>44328</v>
      </c>
      <c r="E7" s="6" t="s">
        <v>91</v>
      </c>
    </row>
    <row r="8" customFormat="false" ht="15" hidden="false" customHeight="false" outlineLevel="0" collapsed="false">
      <c r="B8" s="36" t="s">
        <v>92</v>
      </c>
      <c r="C8" s="37" t="s">
        <v>93</v>
      </c>
      <c r="E8" s="6" t="s">
        <v>94</v>
      </c>
    </row>
    <row r="9" customFormat="false" ht="15" hidden="false" customHeight="false" outlineLevel="0" collapsed="false">
      <c r="B9" s="36" t="s">
        <v>95</v>
      </c>
      <c r="C9" s="37" t="s">
        <v>96</v>
      </c>
      <c r="E9" s="6" t="s">
        <v>97</v>
      </c>
    </row>
    <row r="10" customFormat="false" ht="15" hidden="false" customHeight="false" outlineLevel="0" collapsed="false">
      <c r="B10" s="36" t="s">
        <v>98</v>
      </c>
      <c r="C10" s="39" t="n">
        <v>0</v>
      </c>
      <c r="E10" s="6"/>
    </row>
    <row r="11" customFormat="false" ht="15" hidden="false" customHeight="false" outlineLevel="0" collapsed="false">
      <c r="B11" s="36" t="s">
        <v>99</v>
      </c>
      <c r="C11" s="40" t="n">
        <v>11.78</v>
      </c>
      <c r="E11" s="6" t="s">
        <v>100</v>
      </c>
    </row>
    <row r="12" customFormat="false" ht="15" hidden="false" customHeight="false" outlineLevel="0" collapsed="false">
      <c r="B12" s="36" t="s">
        <v>101</v>
      </c>
      <c r="C12" s="40" t="n">
        <v>17.05</v>
      </c>
      <c r="E12" s="6" t="s">
        <v>100</v>
      </c>
    </row>
    <row r="15" customFormat="false" ht="15" hidden="false" customHeight="false" outlineLevel="0" collapsed="false">
      <c r="B15" s="28" t="s">
        <v>102</v>
      </c>
    </row>
    <row r="16" customFormat="false" ht="15" hidden="false" customHeight="false" outlineLevel="0" collapsed="false">
      <c r="B16" s="7" t="s">
        <v>103</v>
      </c>
      <c r="C16" s="7" t="s">
        <v>104</v>
      </c>
      <c r="D16" s="7" t="s">
        <v>105</v>
      </c>
    </row>
    <row r="17" customFormat="false" ht="15" hidden="false" customHeight="false" outlineLevel="0" collapsed="false">
      <c r="B17" s="36" t="s">
        <v>106</v>
      </c>
      <c r="C17" s="41" t="n">
        <v>0.4</v>
      </c>
      <c r="D17" s="41" t="n">
        <v>0.1</v>
      </c>
    </row>
    <row r="18" customFormat="false" ht="15" hidden="false" customHeight="false" outlineLevel="0" collapsed="false">
      <c r="B18" s="36" t="s">
        <v>107</v>
      </c>
      <c r="C18" s="41" t="n">
        <v>0</v>
      </c>
      <c r="D18" s="41" t="n">
        <v>0.15</v>
      </c>
    </row>
    <row r="19" customFormat="false" ht="15" hidden="false" customHeight="false" outlineLevel="0" collapsed="false">
      <c r="B19" s="36" t="s">
        <v>108</v>
      </c>
      <c r="C19" s="41" t="n">
        <v>0.3</v>
      </c>
      <c r="D19" s="41" t="n">
        <v>0.3</v>
      </c>
    </row>
    <row r="20" customFormat="false" ht="15" hidden="false" customHeight="false" outlineLevel="0" collapsed="false">
      <c r="B20" s="36" t="s">
        <v>109</v>
      </c>
      <c r="C20" s="41" t="n">
        <v>0</v>
      </c>
      <c r="D20" s="41" t="n">
        <v>0.15</v>
      </c>
    </row>
    <row r="21" customFormat="false" ht="15" hidden="false" customHeight="false" outlineLevel="0" collapsed="false">
      <c r="B21" s="36" t="s">
        <v>110</v>
      </c>
      <c r="C21" s="41" t="n">
        <v>0.3</v>
      </c>
      <c r="D21" s="41" t="n">
        <v>0.3</v>
      </c>
    </row>
    <row r="22" customFormat="false" ht="15" hidden="false" customHeight="false" outlineLevel="0" collapsed="false">
      <c r="B22" s="36" t="s">
        <v>111</v>
      </c>
      <c r="C22" s="41" t="n">
        <v>0.2</v>
      </c>
      <c r="D22" s="41" t="n">
        <v>0.2</v>
      </c>
    </row>
    <row r="24" customFormat="false" ht="15" hidden="false" customHeight="false" outlineLevel="0" collapsed="false">
      <c r="B24" s="36" t="s">
        <v>112</v>
      </c>
      <c r="C24" s="30" t="n">
        <f aca="false">IF(C8="Sí",1,2)</f>
        <v>1</v>
      </c>
      <c r="E24" s="6" t="s">
        <v>113</v>
      </c>
    </row>
    <row r="26" customFormat="false" ht="15" hidden="false" customHeight="false" outlineLevel="0" collapsed="false">
      <c r="B26" s="28" t="s">
        <v>114</v>
      </c>
    </row>
    <row r="27" customFormat="false" ht="15" hidden="false" customHeight="false" outlineLevel="0" collapsed="false">
      <c r="B27" s="36" t="s">
        <v>115</v>
      </c>
      <c r="C27" s="40" t="n">
        <v>2.5</v>
      </c>
    </row>
    <row r="28" customFormat="false" ht="15" hidden="false" customHeight="false" outlineLevel="0" collapsed="false">
      <c r="B28" s="36" t="s">
        <v>116</v>
      </c>
      <c r="C28" s="40" t="n">
        <v>2</v>
      </c>
    </row>
    <row r="29" customFormat="false" ht="15" hidden="false" customHeight="false" outlineLevel="0" collapsed="false">
      <c r="B29" s="36" t="s">
        <v>117</v>
      </c>
      <c r="C29" s="40" t="n">
        <v>0.8</v>
      </c>
    </row>
    <row r="30" customFormat="false" ht="15" hidden="false" customHeight="false" outlineLevel="0" collapsed="false">
      <c r="B30" s="36" t="s">
        <v>118</v>
      </c>
      <c r="C30" s="40" t="n">
        <v>0.4</v>
      </c>
    </row>
    <row r="31" customFormat="false" ht="15" hidden="false" customHeight="false" outlineLevel="0" collapsed="false">
      <c r="B31" s="36" t="s">
        <v>119</v>
      </c>
      <c r="C31" s="40" t="n">
        <v>2</v>
      </c>
    </row>
  </sheetData>
  <dataValidations count="2">
    <dataValidation allowBlank="false" errorStyle="stop" operator="between" showDropDown="false" showErrorMessage="false" showInputMessage="false" sqref="C8" type="list">
      <formula1>"Sí,No"</formula1>
      <formula2>0</formula2>
    </dataValidation>
    <dataValidation allowBlank="false" errorStyle="stop" operator="between" showDropDown="false" showErrorMessage="false" showInputMessage="false" sqref="C9" type="list">
      <formula1>"Etapa 2,Etapa 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14" min="6" style="0" width="13"/>
  </cols>
  <sheetData>
    <row r="1" customFormat="false" ht="15" hidden="false" customHeight="false" outlineLevel="0" collapsed="false">
      <c r="A1" s="28" t="s">
        <v>120</v>
      </c>
    </row>
    <row r="4" customFormat="false" ht="23.85" hidden="false" customHeight="false" outlineLevel="0" collapsed="false">
      <c r="A4" s="7" t="s">
        <v>74</v>
      </c>
      <c r="B4" s="7" t="s">
        <v>75</v>
      </c>
      <c r="C4" s="7" t="s">
        <v>121</v>
      </c>
      <c r="D4" s="7" t="s">
        <v>122</v>
      </c>
      <c r="E4" s="7" t="s">
        <v>123</v>
      </c>
      <c r="F4" s="7" t="n">
        <v>2020</v>
      </c>
      <c r="G4" s="7" t="n">
        <v>2021</v>
      </c>
      <c r="H4" s="7" t="n">
        <v>2022</v>
      </c>
      <c r="I4" s="7" t="n">
        <v>2023</v>
      </c>
      <c r="J4" s="7" t="n">
        <v>2024</v>
      </c>
      <c r="K4" s="7" t="n">
        <v>2025</v>
      </c>
      <c r="L4" s="7" t="n">
        <v>2026</v>
      </c>
      <c r="M4" s="7" t="n">
        <v>2027</v>
      </c>
      <c r="N4" s="7" t="s">
        <v>124</v>
      </c>
    </row>
    <row r="5" customFormat="false" ht="15" hidden="false" customHeight="false" outlineLevel="0" collapsed="false">
      <c r="A5" s="30" t="n">
        <v>1</v>
      </c>
      <c r="B5" s="10" t="s">
        <v>125</v>
      </c>
      <c r="C5" s="10" t="s">
        <v>126</v>
      </c>
      <c r="D5" s="36" t="s">
        <v>127</v>
      </c>
      <c r="E5" s="19" t="s">
        <v>128</v>
      </c>
      <c r="F5" s="42" t="n">
        <v>0</v>
      </c>
      <c r="G5" s="42" t="n">
        <v>0</v>
      </c>
      <c r="H5" s="42" t="n">
        <v>0</v>
      </c>
      <c r="I5" s="42" t="n">
        <v>0</v>
      </c>
      <c r="J5" s="42" t="n">
        <v>1</v>
      </c>
      <c r="K5" s="42" t="n">
        <v>0</v>
      </c>
      <c r="L5" s="42" t="n">
        <v>0</v>
      </c>
      <c r="M5" s="42" t="n">
        <v>0</v>
      </c>
      <c r="N5" s="42" t="n">
        <v>1</v>
      </c>
    </row>
    <row r="6" customFormat="false" ht="15" hidden="false" customHeight="false" outlineLevel="0" collapsed="false">
      <c r="A6" s="30" t="n">
        <v>1</v>
      </c>
      <c r="B6" s="10"/>
      <c r="C6" s="10"/>
      <c r="D6" s="36"/>
      <c r="E6" s="19" t="s">
        <v>129</v>
      </c>
      <c r="F6" s="42" t="n">
        <v>0</v>
      </c>
      <c r="G6" s="42" t="n">
        <v>0</v>
      </c>
      <c r="H6" s="42" t="n">
        <v>0</v>
      </c>
      <c r="I6" s="42" t="n">
        <v>0</v>
      </c>
      <c r="J6" s="42" t="n">
        <v>0</v>
      </c>
      <c r="K6" s="42" t="n">
        <v>0</v>
      </c>
      <c r="L6" s="42" t="n">
        <v>0</v>
      </c>
      <c r="M6" s="42" t="n">
        <v>1</v>
      </c>
      <c r="N6" s="42" t="n">
        <v>1</v>
      </c>
    </row>
    <row r="7" customFormat="false" ht="15" hidden="false" customHeight="false" outlineLevel="0" collapsed="false">
      <c r="A7" s="30" t="n">
        <v>1</v>
      </c>
      <c r="B7" s="10"/>
      <c r="C7" s="10"/>
      <c r="D7" s="36"/>
      <c r="E7" s="19" t="s">
        <v>130</v>
      </c>
      <c r="F7" s="42" t="n">
        <v>0</v>
      </c>
      <c r="G7" s="42" t="n">
        <v>0</v>
      </c>
      <c r="H7" s="42" t="n">
        <v>0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0</v>
      </c>
      <c r="N7" s="42" t="n">
        <v>0</v>
      </c>
    </row>
    <row r="8" customFormat="false" ht="15" hidden="false" customHeight="false" outlineLevel="0" collapsed="false">
      <c r="A8" s="30" t="n">
        <v>2</v>
      </c>
      <c r="B8" s="10" t="s">
        <v>131</v>
      </c>
      <c r="C8" s="10" t="s">
        <v>126</v>
      </c>
      <c r="D8" s="36" t="s">
        <v>127</v>
      </c>
      <c r="E8" s="19" t="s">
        <v>128</v>
      </c>
      <c r="F8" s="42" t="n">
        <v>0</v>
      </c>
      <c r="G8" s="42" t="n">
        <v>0</v>
      </c>
      <c r="H8" s="42" t="n">
        <v>0</v>
      </c>
      <c r="I8" s="42" t="n">
        <v>0</v>
      </c>
      <c r="J8" s="42" t="n">
        <v>1</v>
      </c>
      <c r="K8" s="42" t="n">
        <v>0</v>
      </c>
      <c r="L8" s="42" t="n">
        <v>0</v>
      </c>
      <c r="M8" s="42" t="n">
        <v>0</v>
      </c>
      <c r="N8" s="42" t="n">
        <v>1</v>
      </c>
    </row>
    <row r="9" customFormat="false" ht="15" hidden="false" customHeight="false" outlineLevel="0" collapsed="false">
      <c r="A9" s="30" t="n">
        <v>2</v>
      </c>
      <c r="B9" s="10"/>
      <c r="C9" s="10"/>
      <c r="D9" s="36"/>
      <c r="E9" s="19" t="s">
        <v>129</v>
      </c>
      <c r="F9" s="42" t="n">
        <v>0</v>
      </c>
      <c r="G9" s="42" t="n">
        <v>0</v>
      </c>
      <c r="H9" s="42" t="n">
        <v>0</v>
      </c>
      <c r="I9" s="42" t="n">
        <v>0</v>
      </c>
      <c r="J9" s="42" t="n">
        <v>0</v>
      </c>
      <c r="K9" s="42" t="n">
        <v>0</v>
      </c>
      <c r="L9" s="42" t="n">
        <v>0</v>
      </c>
      <c r="M9" s="42" t="n">
        <v>1</v>
      </c>
      <c r="N9" s="42" t="n">
        <v>1</v>
      </c>
    </row>
    <row r="10" customFormat="false" ht="15" hidden="false" customHeight="false" outlineLevel="0" collapsed="false">
      <c r="A10" s="30" t="n">
        <v>2</v>
      </c>
      <c r="B10" s="10"/>
      <c r="C10" s="10"/>
      <c r="D10" s="36"/>
      <c r="E10" s="19" t="s">
        <v>130</v>
      </c>
      <c r="F10" s="42" t="n">
        <v>0</v>
      </c>
      <c r="G10" s="42" t="n">
        <v>0</v>
      </c>
      <c r="H10" s="42" t="n">
        <v>0</v>
      </c>
      <c r="I10" s="42" t="n">
        <v>0</v>
      </c>
      <c r="J10" s="42" t="n">
        <v>0</v>
      </c>
      <c r="K10" s="42" t="n">
        <v>0</v>
      </c>
      <c r="L10" s="42" t="n">
        <v>0</v>
      </c>
      <c r="M10" s="42" t="n">
        <v>0</v>
      </c>
      <c r="N10" s="42" t="n">
        <v>0</v>
      </c>
    </row>
    <row r="11" customFormat="false" ht="23.85" hidden="false" customHeight="false" outlineLevel="0" collapsed="false">
      <c r="A11" s="30" t="n">
        <v>3</v>
      </c>
      <c r="B11" s="10" t="s">
        <v>132</v>
      </c>
      <c r="C11" s="10" t="s">
        <v>133</v>
      </c>
      <c r="D11" s="36" t="s">
        <v>127</v>
      </c>
      <c r="E11" s="19" t="s">
        <v>128</v>
      </c>
      <c r="F11" s="42" t="n">
        <v>0</v>
      </c>
      <c r="G11" s="42" t="n">
        <v>0</v>
      </c>
      <c r="H11" s="42" t="n">
        <v>0</v>
      </c>
      <c r="I11" s="42" t="n">
        <v>0</v>
      </c>
      <c r="J11" s="42" t="n">
        <v>16</v>
      </c>
      <c r="K11" s="42" t="n">
        <v>0</v>
      </c>
      <c r="L11" s="42" t="n">
        <v>0</v>
      </c>
      <c r="M11" s="42" t="n">
        <v>0</v>
      </c>
      <c r="N11" s="42" t="n">
        <v>16</v>
      </c>
    </row>
    <row r="12" customFormat="false" ht="15" hidden="false" customHeight="false" outlineLevel="0" collapsed="false">
      <c r="A12" s="30" t="n">
        <v>3</v>
      </c>
      <c r="B12" s="10"/>
      <c r="C12" s="10"/>
      <c r="D12" s="36"/>
      <c r="E12" s="19" t="s">
        <v>129</v>
      </c>
      <c r="F12" s="42" t="n">
        <v>0</v>
      </c>
      <c r="G12" s="42" t="n">
        <v>0</v>
      </c>
      <c r="H12" s="42" t="n">
        <v>0</v>
      </c>
      <c r="I12" s="42" t="n">
        <v>0</v>
      </c>
      <c r="J12" s="42" t="n">
        <v>0</v>
      </c>
      <c r="K12" s="42" t="n">
        <v>0</v>
      </c>
      <c r="L12" s="42" t="n">
        <v>0</v>
      </c>
      <c r="M12" s="42" t="n">
        <v>0</v>
      </c>
      <c r="N12" s="42" t="n">
        <v>29</v>
      </c>
    </row>
    <row r="13" customFormat="false" ht="15" hidden="false" customHeight="false" outlineLevel="0" collapsed="false">
      <c r="A13" s="30" t="n">
        <v>3</v>
      </c>
      <c r="B13" s="10"/>
      <c r="C13" s="10"/>
      <c r="D13" s="36"/>
      <c r="E13" s="19" t="s">
        <v>130</v>
      </c>
      <c r="F13" s="42" t="n">
        <v>0</v>
      </c>
      <c r="G13" s="42" t="n">
        <v>0</v>
      </c>
      <c r="H13" s="42" t="n">
        <v>0</v>
      </c>
      <c r="I13" s="42" t="n">
        <v>29</v>
      </c>
      <c r="J13" s="42" t="n">
        <v>0</v>
      </c>
      <c r="K13" s="42" t="n">
        <v>0</v>
      </c>
      <c r="L13" s="42" t="n">
        <v>0</v>
      </c>
      <c r="M13" s="42" t="n">
        <v>0</v>
      </c>
      <c r="N13" s="42" t="n">
        <v>29</v>
      </c>
    </row>
    <row r="14" customFormat="false" ht="23.85" hidden="false" customHeight="false" outlineLevel="0" collapsed="false">
      <c r="A14" s="30" t="n">
        <v>4</v>
      </c>
      <c r="B14" s="10" t="s">
        <v>134</v>
      </c>
      <c r="C14" s="10" t="s">
        <v>126</v>
      </c>
      <c r="D14" s="36" t="s">
        <v>127</v>
      </c>
      <c r="E14" s="19" t="s">
        <v>128</v>
      </c>
      <c r="F14" s="42" t="n">
        <v>0</v>
      </c>
      <c r="G14" s="42" t="n">
        <v>0</v>
      </c>
      <c r="H14" s="42" t="n">
        <v>0</v>
      </c>
      <c r="I14" s="42" t="n">
        <v>0</v>
      </c>
      <c r="J14" s="42" t="n">
        <v>0</v>
      </c>
      <c r="K14" s="42" t="n">
        <v>1</v>
      </c>
      <c r="L14" s="42" t="n">
        <v>0</v>
      </c>
      <c r="M14" s="42" t="n">
        <v>0</v>
      </c>
      <c r="N14" s="42" t="n">
        <v>1</v>
      </c>
    </row>
    <row r="15" customFormat="false" ht="15" hidden="false" customHeight="false" outlineLevel="0" collapsed="false">
      <c r="A15" s="30" t="n">
        <v>4</v>
      </c>
      <c r="B15" s="10"/>
      <c r="C15" s="10"/>
      <c r="D15" s="36"/>
      <c r="E15" s="19" t="s">
        <v>129</v>
      </c>
      <c r="F15" s="42" t="n">
        <v>0</v>
      </c>
      <c r="G15" s="42" t="n">
        <v>0</v>
      </c>
      <c r="H15" s="42" t="n">
        <v>0</v>
      </c>
      <c r="I15" s="42" t="n">
        <v>0</v>
      </c>
      <c r="J15" s="42" t="n">
        <v>0</v>
      </c>
      <c r="K15" s="42" t="n">
        <v>1</v>
      </c>
      <c r="L15" s="42" t="n">
        <v>1</v>
      </c>
      <c r="M15" s="42" t="n">
        <v>0</v>
      </c>
      <c r="N15" s="42" t="n">
        <v>1</v>
      </c>
    </row>
    <row r="16" customFormat="false" ht="15" hidden="false" customHeight="false" outlineLevel="0" collapsed="false">
      <c r="A16" s="30" t="n">
        <v>4</v>
      </c>
      <c r="B16" s="10"/>
      <c r="C16" s="10"/>
      <c r="D16" s="36"/>
      <c r="E16" s="19" t="s">
        <v>130</v>
      </c>
      <c r="F16" s="42" t="n">
        <v>0</v>
      </c>
      <c r="G16" s="42" t="n">
        <v>0</v>
      </c>
      <c r="H16" s="42" t="n">
        <v>0</v>
      </c>
      <c r="I16" s="42" t="n">
        <v>0</v>
      </c>
      <c r="J16" s="42" t="n">
        <v>0</v>
      </c>
      <c r="K16" s="42" t="n">
        <v>0</v>
      </c>
      <c r="L16" s="42" t="n">
        <v>0</v>
      </c>
      <c r="M16" s="42" t="n">
        <v>0</v>
      </c>
      <c r="N16" s="42" t="n">
        <v>0</v>
      </c>
    </row>
    <row r="17" customFormat="false" ht="23.85" hidden="false" customHeight="false" outlineLevel="0" collapsed="false">
      <c r="A17" s="30" t="n">
        <v>5</v>
      </c>
      <c r="B17" s="10" t="s">
        <v>135</v>
      </c>
      <c r="C17" s="10" t="s">
        <v>136</v>
      </c>
      <c r="D17" s="36" t="s">
        <v>127</v>
      </c>
      <c r="E17" s="19" t="s">
        <v>128</v>
      </c>
      <c r="F17" s="42" t="n">
        <v>0</v>
      </c>
      <c r="G17" s="42" t="n">
        <v>0</v>
      </c>
      <c r="H17" s="42" t="n">
        <v>0</v>
      </c>
      <c r="I17" s="42" t="n">
        <v>0</v>
      </c>
      <c r="J17" s="42" t="n">
        <v>0</v>
      </c>
      <c r="K17" s="42" t="n">
        <v>1</v>
      </c>
      <c r="L17" s="42" t="n">
        <v>0</v>
      </c>
      <c r="M17" s="42" t="n">
        <v>0</v>
      </c>
      <c r="N17" s="42" t="n">
        <v>1</v>
      </c>
    </row>
    <row r="18" customFormat="false" ht="15" hidden="false" customHeight="false" outlineLevel="0" collapsed="false">
      <c r="A18" s="30" t="n">
        <v>5</v>
      </c>
      <c r="B18" s="10"/>
      <c r="C18" s="10"/>
      <c r="D18" s="36"/>
      <c r="E18" s="19" t="s">
        <v>129</v>
      </c>
      <c r="F18" s="42" t="n">
        <v>0</v>
      </c>
      <c r="G18" s="42" t="n">
        <v>0</v>
      </c>
      <c r="H18" s="42" t="n">
        <v>0</v>
      </c>
      <c r="I18" s="42" t="n">
        <v>0</v>
      </c>
      <c r="J18" s="42" t="n">
        <v>0</v>
      </c>
      <c r="K18" s="42" t="n">
        <v>1</v>
      </c>
      <c r="L18" s="42" t="n">
        <v>1</v>
      </c>
      <c r="M18" s="42" t="n">
        <v>0</v>
      </c>
      <c r="N18" s="42" t="n">
        <v>1</v>
      </c>
    </row>
    <row r="19" customFormat="false" ht="15" hidden="false" customHeight="false" outlineLevel="0" collapsed="false">
      <c r="A19" s="30" t="n">
        <v>5</v>
      </c>
      <c r="B19" s="10"/>
      <c r="C19" s="10"/>
      <c r="D19" s="36"/>
      <c r="E19" s="19" t="s">
        <v>130</v>
      </c>
      <c r="F19" s="42" t="n">
        <v>0</v>
      </c>
      <c r="G19" s="42" t="n">
        <v>0</v>
      </c>
      <c r="H19" s="42" t="n">
        <v>0</v>
      </c>
      <c r="I19" s="42" t="n">
        <v>0</v>
      </c>
      <c r="J19" s="42" t="n">
        <v>0</v>
      </c>
      <c r="K19" s="42" t="n">
        <v>0</v>
      </c>
      <c r="L19" s="42" t="n">
        <v>0</v>
      </c>
      <c r="M19" s="42" t="n">
        <v>0</v>
      </c>
      <c r="N19" s="42" t="n">
        <v>0</v>
      </c>
    </row>
    <row r="20" customFormat="false" ht="23.85" hidden="false" customHeight="false" outlineLevel="0" collapsed="false">
      <c r="A20" s="30" t="n">
        <v>6</v>
      </c>
      <c r="B20" s="10" t="s">
        <v>137</v>
      </c>
      <c r="C20" s="10" t="s">
        <v>126</v>
      </c>
      <c r="D20" s="36" t="s">
        <v>127</v>
      </c>
      <c r="E20" s="19" t="s">
        <v>128</v>
      </c>
      <c r="F20" s="42" t="n">
        <v>0</v>
      </c>
      <c r="G20" s="42" t="n">
        <v>0</v>
      </c>
      <c r="H20" s="42" t="n">
        <v>0</v>
      </c>
      <c r="I20" s="42" t="n">
        <v>0</v>
      </c>
      <c r="J20" s="42" t="n">
        <v>1</v>
      </c>
      <c r="K20" s="42" t="n">
        <v>0</v>
      </c>
      <c r="L20" s="42" t="n">
        <v>0</v>
      </c>
      <c r="M20" s="42" t="n">
        <v>0</v>
      </c>
      <c r="N20" s="42" t="n">
        <v>1</v>
      </c>
    </row>
    <row r="21" customFormat="false" ht="15" hidden="false" customHeight="false" outlineLevel="0" collapsed="false">
      <c r="A21" s="30" t="n">
        <v>6</v>
      </c>
      <c r="B21" s="10"/>
      <c r="C21" s="10"/>
      <c r="D21" s="36"/>
      <c r="E21" s="19" t="s">
        <v>129</v>
      </c>
      <c r="F21" s="42" t="n">
        <v>0</v>
      </c>
      <c r="G21" s="42" t="n">
        <v>0</v>
      </c>
      <c r="H21" s="42" t="n">
        <v>0</v>
      </c>
      <c r="I21" s="42" t="n">
        <v>0</v>
      </c>
      <c r="J21" s="42" t="n">
        <v>0</v>
      </c>
      <c r="K21" s="42" t="n">
        <v>1</v>
      </c>
      <c r="L21" s="42" t="n">
        <v>1</v>
      </c>
      <c r="M21" s="42" t="n">
        <v>0</v>
      </c>
      <c r="N21" s="42" t="n">
        <v>1</v>
      </c>
    </row>
    <row r="22" customFormat="false" ht="15" hidden="false" customHeight="false" outlineLevel="0" collapsed="false">
      <c r="A22" s="30" t="n">
        <v>6</v>
      </c>
      <c r="B22" s="10"/>
      <c r="C22" s="10"/>
      <c r="D22" s="36"/>
      <c r="E22" s="19" t="s">
        <v>130</v>
      </c>
      <c r="F22" s="42" t="n">
        <v>0</v>
      </c>
      <c r="G22" s="42" t="n">
        <v>0</v>
      </c>
      <c r="H22" s="42" t="n">
        <v>0</v>
      </c>
      <c r="I22" s="42" t="n">
        <v>0</v>
      </c>
      <c r="J22" s="42" t="n">
        <v>0</v>
      </c>
      <c r="K22" s="42" t="n">
        <v>0</v>
      </c>
      <c r="L22" s="42" t="n">
        <v>0</v>
      </c>
      <c r="M22" s="42" t="n">
        <v>0</v>
      </c>
      <c r="N22" s="42" t="n">
        <v>0</v>
      </c>
    </row>
    <row r="23" customFormat="false" ht="23.85" hidden="false" customHeight="false" outlineLevel="0" collapsed="false">
      <c r="A23" s="30" t="n">
        <v>7</v>
      </c>
      <c r="B23" s="10" t="s">
        <v>138</v>
      </c>
      <c r="C23" s="10" t="s">
        <v>139</v>
      </c>
      <c r="D23" s="36" t="s">
        <v>93</v>
      </c>
      <c r="E23" s="19" t="s">
        <v>128</v>
      </c>
      <c r="F23" s="42" t="n">
        <v>0</v>
      </c>
      <c r="G23" s="42" t="n">
        <v>0</v>
      </c>
      <c r="H23" s="42" t="n">
        <v>0</v>
      </c>
      <c r="I23" s="42" t="n">
        <v>4</v>
      </c>
      <c r="J23" s="42" t="n">
        <v>7</v>
      </c>
      <c r="K23" s="42" t="n">
        <v>10</v>
      </c>
      <c r="L23" s="42" t="n">
        <v>14</v>
      </c>
      <c r="M23" s="42" t="n">
        <v>0</v>
      </c>
      <c r="N23" s="42" t="n">
        <v>35</v>
      </c>
    </row>
    <row r="24" customFormat="false" ht="15" hidden="false" customHeight="false" outlineLevel="0" collapsed="false">
      <c r="A24" s="30" t="n">
        <v>7</v>
      </c>
      <c r="B24" s="10"/>
      <c r="C24" s="10"/>
      <c r="D24" s="36"/>
      <c r="E24" s="19" t="s">
        <v>129</v>
      </c>
      <c r="F24" s="42" t="n">
        <v>0</v>
      </c>
      <c r="G24" s="42" t="n">
        <v>0</v>
      </c>
      <c r="H24" s="42" t="n">
        <v>0</v>
      </c>
      <c r="I24" s="42" t="n">
        <v>2</v>
      </c>
      <c r="J24" s="42" t="n">
        <v>6</v>
      </c>
      <c r="K24" s="42" t="n">
        <v>2</v>
      </c>
      <c r="L24" s="42" t="n">
        <v>4</v>
      </c>
      <c r="M24" s="42" t="n">
        <v>6</v>
      </c>
      <c r="N24" s="42" t="n">
        <v>17</v>
      </c>
    </row>
    <row r="25" customFormat="false" ht="15" hidden="false" customHeight="false" outlineLevel="0" collapsed="false">
      <c r="A25" s="30" t="n">
        <v>7</v>
      </c>
      <c r="B25" s="10"/>
      <c r="C25" s="10"/>
      <c r="D25" s="36"/>
      <c r="E25" s="19" t="s">
        <v>130</v>
      </c>
      <c r="F25" s="42" t="n">
        <v>0</v>
      </c>
      <c r="G25" s="42" t="n">
        <v>0</v>
      </c>
      <c r="H25" s="42" t="n">
        <v>0</v>
      </c>
      <c r="I25" s="42" t="n">
        <v>1</v>
      </c>
      <c r="J25" s="42" t="n">
        <v>5</v>
      </c>
      <c r="K25" s="42" t="n">
        <v>1</v>
      </c>
      <c r="L25" s="42" t="n">
        <v>5</v>
      </c>
      <c r="M25" s="42" t="n">
        <v>0</v>
      </c>
      <c r="N25" s="42" t="n">
        <v>12</v>
      </c>
    </row>
    <row r="26" customFormat="false" ht="23.85" hidden="false" customHeight="false" outlineLevel="0" collapsed="false">
      <c r="A26" s="30" t="n">
        <v>8</v>
      </c>
      <c r="B26" s="10" t="s">
        <v>140</v>
      </c>
      <c r="C26" s="10" t="s">
        <v>141</v>
      </c>
      <c r="D26" s="36" t="s">
        <v>127</v>
      </c>
      <c r="E26" s="19" t="s">
        <v>128</v>
      </c>
      <c r="F26" s="42" t="n">
        <v>0</v>
      </c>
      <c r="G26" s="42" t="n">
        <v>0</v>
      </c>
      <c r="H26" s="42" t="n">
        <v>0</v>
      </c>
      <c r="I26" s="42" t="n">
        <v>0</v>
      </c>
      <c r="J26" s="42" t="n">
        <v>0</v>
      </c>
      <c r="K26" s="42" t="n">
        <v>0</v>
      </c>
      <c r="L26" s="42" t="n">
        <v>0</v>
      </c>
      <c r="M26" s="42" t="n">
        <v>0</v>
      </c>
      <c r="N26" s="42" t="n">
        <v>0</v>
      </c>
    </row>
    <row r="27" customFormat="false" ht="15" hidden="false" customHeight="false" outlineLevel="0" collapsed="false">
      <c r="A27" s="30" t="n">
        <v>8</v>
      </c>
      <c r="B27" s="10"/>
      <c r="C27" s="10"/>
      <c r="D27" s="36"/>
      <c r="E27" s="19" t="s">
        <v>129</v>
      </c>
      <c r="F27" s="42" t="n">
        <v>0</v>
      </c>
      <c r="G27" s="42" t="n">
        <v>0</v>
      </c>
      <c r="H27" s="42" t="n">
        <v>0</v>
      </c>
      <c r="I27" s="42" t="n">
        <v>0</v>
      </c>
      <c r="J27" s="42" t="n">
        <v>0</v>
      </c>
      <c r="K27" s="42" t="n">
        <v>0</v>
      </c>
      <c r="L27" s="42" t="n">
        <v>0</v>
      </c>
      <c r="M27" s="42" t="n">
        <v>1</v>
      </c>
      <c r="N27" s="42" t="n">
        <v>1</v>
      </c>
    </row>
    <row r="28" customFormat="false" ht="15" hidden="false" customHeight="false" outlineLevel="0" collapsed="false">
      <c r="A28" s="30" t="n">
        <v>8</v>
      </c>
      <c r="B28" s="10"/>
      <c r="C28" s="10"/>
      <c r="D28" s="36"/>
      <c r="E28" s="19" t="s">
        <v>130</v>
      </c>
      <c r="F28" s="42" t="n">
        <v>0</v>
      </c>
      <c r="G28" s="42" t="n">
        <v>0</v>
      </c>
      <c r="H28" s="42" t="n">
        <v>0</v>
      </c>
      <c r="I28" s="42" t="n">
        <v>0</v>
      </c>
      <c r="J28" s="42" t="n">
        <v>0</v>
      </c>
      <c r="K28" s="42" t="n">
        <v>0</v>
      </c>
      <c r="L28" s="42" t="n">
        <v>0</v>
      </c>
      <c r="M28" s="42" t="n">
        <v>0</v>
      </c>
      <c r="N28" s="42" t="n">
        <v>0</v>
      </c>
    </row>
    <row r="29" customFormat="false" ht="23.85" hidden="false" customHeight="false" outlineLevel="0" collapsed="false">
      <c r="A29" s="30" t="n">
        <v>9</v>
      </c>
      <c r="B29" s="10" t="s">
        <v>142</v>
      </c>
      <c r="C29" s="10" t="s">
        <v>126</v>
      </c>
      <c r="D29" s="36" t="s">
        <v>127</v>
      </c>
      <c r="E29" s="19" t="s">
        <v>128</v>
      </c>
      <c r="F29" s="42" t="n">
        <v>0</v>
      </c>
      <c r="G29" s="42" t="n">
        <v>0</v>
      </c>
      <c r="H29" s="42" t="n">
        <v>0</v>
      </c>
      <c r="I29" s="42" t="n">
        <v>0</v>
      </c>
      <c r="J29" s="42" t="n">
        <v>0</v>
      </c>
      <c r="K29" s="42" t="n">
        <v>1</v>
      </c>
      <c r="L29" s="42" t="n">
        <v>0</v>
      </c>
      <c r="M29" s="42" t="n">
        <v>0</v>
      </c>
      <c r="N29" s="42" t="n">
        <v>1</v>
      </c>
    </row>
    <row r="30" customFormat="false" ht="15" hidden="false" customHeight="false" outlineLevel="0" collapsed="false">
      <c r="A30" s="30" t="n">
        <v>9</v>
      </c>
      <c r="B30" s="10"/>
      <c r="C30" s="10"/>
      <c r="D30" s="36"/>
      <c r="E30" s="19" t="s">
        <v>129</v>
      </c>
      <c r="F30" s="42" t="n">
        <v>0</v>
      </c>
      <c r="G30" s="42" t="n">
        <v>0</v>
      </c>
      <c r="H30" s="42" t="n">
        <v>0</v>
      </c>
      <c r="I30" s="42" t="n">
        <v>0</v>
      </c>
      <c r="J30" s="42" t="n">
        <v>0</v>
      </c>
      <c r="K30" s="42" t="n">
        <v>0</v>
      </c>
      <c r="L30" s="42" t="n">
        <v>1</v>
      </c>
      <c r="M30" s="42" t="n">
        <v>0</v>
      </c>
      <c r="N30" s="42" t="n">
        <v>1</v>
      </c>
    </row>
    <row r="31" customFormat="false" ht="15" hidden="false" customHeight="false" outlineLevel="0" collapsed="false">
      <c r="A31" s="30" t="n">
        <v>9</v>
      </c>
      <c r="B31" s="10"/>
      <c r="C31" s="10"/>
      <c r="D31" s="36"/>
      <c r="E31" s="19" t="s">
        <v>130</v>
      </c>
      <c r="F31" s="42" t="n">
        <v>0</v>
      </c>
      <c r="G31" s="42" t="n">
        <v>0</v>
      </c>
      <c r="H31" s="42" t="n">
        <v>0</v>
      </c>
      <c r="I31" s="42" t="n">
        <v>0</v>
      </c>
      <c r="J31" s="42" t="n">
        <v>0</v>
      </c>
      <c r="K31" s="42" t="n">
        <v>0</v>
      </c>
      <c r="L31" s="42" t="n">
        <v>0</v>
      </c>
      <c r="M31" s="42" t="n">
        <v>0</v>
      </c>
      <c r="N31" s="42" t="n">
        <v>0</v>
      </c>
    </row>
    <row r="32" customFormat="false" ht="23.85" hidden="false" customHeight="false" outlineLevel="0" collapsed="false">
      <c r="A32" s="30" t="n">
        <v>10</v>
      </c>
      <c r="B32" s="10" t="s">
        <v>143</v>
      </c>
      <c r="C32" s="10" t="s">
        <v>126</v>
      </c>
      <c r="D32" s="36" t="s">
        <v>127</v>
      </c>
      <c r="E32" s="19" t="s">
        <v>128</v>
      </c>
      <c r="F32" s="42" t="n">
        <v>0</v>
      </c>
      <c r="G32" s="42" t="n">
        <v>0</v>
      </c>
      <c r="H32" s="42" t="n">
        <v>0</v>
      </c>
      <c r="I32" s="42" t="n">
        <v>0</v>
      </c>
      <c r="J32" s="42" t="n">
        <v>0</v>
      </c>
      <c r="K32" s="42" t="n">
        <v>1</v>
      </c>
      <c r="L32" s="42" t="n">
        <v>0</v>
      </c>
      <c r="M32" s="42" t="n">
        <v>0</v>
      </c>
      <c r="N32" s="42" t="n">
        <v>1</v>
      </c>
    </row>
    <row r="33" customFormat="false" ht="15" hidden="false" customHeight="false" outlineLevel="0" collapsed="false">
      <c r="A33" s="30" t="n">
        <v>10</v>
      </c>
      <c r="B33" s="10"/>
      <c r="C33" s="10"/>
      <c r="D33" s="36"/>
      <c r="E33" s="19" t="s">
        <v>129</v>
      </c>
      <c r="F33" s="42" t="n">
        <v>0</v>
      </c>
      <c r="G33" s="42" t="n">
        <v>0</v>
      </c>
      <c r="H33" s="42" t="n">
        <v>0</v>
      </c>
      <c r="I33" s="42" t="n">
        <v>0</v>
      </c>
      <c r="J33" s="42" t="n">
        <v>0</v>
      </c>
      <c r="K33" s="42" t="n">
        <v>0</v>
      </c>
      <c r="L33" s="42" t="n">
        <v>1</v>
      </c>
      <c r="M33" s="42" t="n">
        <v>0</v>
      </c>
      <c r="N33" s="42" t="n">
        <v>1</v>
      </c>
    </row>
    <row r="34" customFormat="false" ht="15" hidden="false" customHeight="false" outlineLevel="0" collapsed="false">
      <c r="A34" s="30" t="n">
        <v>10</v>
      </c>
      <c r="B34" s="10"/>
      <c r="C34" s="10"/>
      <c r="D34" s="36"/>
      <c r="E34" s="19" t="s">
        <v>130</v>
      </c>
      <c r="F34" s="42" t="n">
        <v>0</v>
      </c>
      <c r="G34" s="42" t="n">
        <v>0</v>
      </c>
      <c r="H34" s="42" t="n">
        <v>0</v>
      </c>
      <c r="I34" s="42" t="n">
        <v>0</v>
      </c>
      <c r="J34" s="42" t="n">
        <v>0</v>
      </c>
      <c r="K34" s="42" t="n">
        <v>0</v>
      </c>
      <c r="L34" s="42" t="n">
        <v>0</v>
      </c>
      <c r="M34" s="42" t="n">
        <v>0</v>
      </c>
      <c r="N34" s="42" t="n">
        <v>0</v>
      </c>
    </row>
    <row r="35" customFormat="false" ht="23.85" hidden="false" customHeight="false" outlineLevel="0" collapsed="false">
      <c r="A35" s="30" t="n">
        <v>11</v>
      </c>
      <c r="B35" s="10" t="s">
        <v>144</v>
      </c>
      <c r="C35" s="10" t="s">
        <v>145</v>
      </c>
      <c r="D35" s="36" t="s">
        <v>127</v>
      </c>
      <c r="E35" s="19" t="s">
        <v>128</v>
      </c>
      <c r="F35" s="42" t="n">
        <v>0</v>
      </c>
      <c r="G35" s="42" t="n">
        <v>0</v>
      </c>
      <c r="H35" s="42" t="n">
        <v>3</v>
      </c>
      <c r="I35" s="42" t="n">
        <v>4</v>
      </c>
      <c r="J35" s="42" t="n">
        <v>4</v>
      </c>
      <c r="K35" s="42" t="n">
        <v>4</v>
      </c>
      <c r="L35" s="42" t="n">
        <v>0</v>
      </c>
      <c r="M35" s="42" t="n">
        <v>0</v>
      </c>
      <c r="N35" s="42" t="n">
        <v>15</v>
      </c>
    </row>
    <row r="36" customFormat="false" ht="15" hidden="false" customHeight="false" outlineLevel="0" collapsed="false">
      <c r="A36" s="30" t="n">
        <v>11</v>
      </c>
      <c r="B36" s="10"/>
      <c r="C36" s="10"/>
      <c r="D36" s="36"/>
      <c r="E36" s="19" t="s">
        <v>129</v>
      </c>
      <c r="F36" s="42" t="n">
        <v>0</v>
      </c>
      <c r="G36" s="42" t="n">
        <v>0</v>
      </c>
      <c r="H36" s="42" t="n">
        <v>3</v>
      </c>
      <c r="I36" s="42" t="n">
        <v>4</v>
      </c>
      <c r="J36" s="42" t="n">
        <v>4</v>
      </c>
      <c r="K36" s="42" t="n">
        <v>4</v>
      </c>
      <c r="L36" s="42" t="n">
        <v>0</v>
      </c>
      <c r="M36" s="42" t="n">
        <v>0</v>
      </c>
      <c r="N36" s="42" t="n">
        <v>15</v>
      </c>
    </row>
    <row r="37" customFormat="false" ht="15" hidden="false" customHeight="false" outlineLevel="0" collapsed="false">
      <c r="A37" s="30" t="n">
        <v>11</v>
      </c>
      <c r="B37" s="10"/>
      <c r="C37" s="10"/>
      <c r="D37" s="36"/>
      <c r="E37" s="19" t="s">
        <v>130</v>
      </c>
      <c r="F37" s="42" t="n">
        <v>0</v>
      </c>
      <c r="G37" s="42" t="n">
        <v>0</v>
      </c>
      <c r="H37" s="42" t="n">
        <v>1</v>
      </c>
      <c r="I37" s="42" t="n">
        <v>6</v>
      </c>
      <c r="J37" s="42" t="n">
        <v>4</v>
      </c>
      <c r="K37" s="42" t="n">
        <v>4</v>
      </c>
      <c r="L37" s="42" t="n">
        <v>0</v>
      </c>
      <c r="M37" s="42" t="n">
        <v>0</v>
      </c>
      <c r="N37" s="42" t="n">
        <v>15</v>
      </c>
    </row>
    <row r="38" customFormat="false" ht="23.85" hidden="false" customHeight="false" outlineLevel="0" collapsed="false">
      <c r="A38" s="30" t="n">
        <v>12</v>
      </c>
      <c r="B38" s="10" t="s">
        <v>146</v>
      </c>
      <c r="C38" s="10" t="s">
        <v>126</v>
      </c>
      <c r="D38" s="36" t="s">
        <v>127</v>
      </c>
      <c r="E38" s="19" t="s">
        <v>128</v>
      </c>
      <c r="F38" s="42" t="n">
        <v>0</v>
      </c>
      <c r="G38" s="42" t="n">
        <v>0</v>
      </c>
      <c r="H38" s="42" t="n">
        <v>0</v>
      </c>
      <c r="I38" s="42" t="n">
        <v>0</v>
      </c>
      <c r="J38" s="42" t="n">
        <v>1</v>
      </c>
      <c r="K38" s="42" t="n">
        <v>0</v>
      </c>
      <c r="L38" s="42" t="n">
        <v>0</v>
      </c>
      <c r="M38" s="42" t="n">
        <v>0</v>
      </c>
      <c r="N38" s="42" t="n">
        <v>1</v>
      </c>
    </row>
    <row r="39" customFormat="false" ht="15" hidden="false" customHeight="false" outlineLevel="0" collapsed="false">
      <c r="A39" s="30" t="n">
        <v>12</v>
      </c>
      <c r="B39" s="10"/>
      <c r="C39" s="10"/>
      <c r="D39" s="36"/>
      <c r="E39" s="19" t="s">
        <v>129</v>
      </c>
      <c r="F39" s="42" t="n">
        <v>0</v>
      </c>
      <c r="G39" s="42" t="n">
        <v>0</v>
      </c>
      <c r="H39" s="42" t="n">
        <v>0</v>
      </c>
      <c r="I39" s="42" t="n">
        <v>0</v>
      </c>
      <c r="J39" s="42" t="n">
        <v>1</v>
      </c>
      <c r="K39" s="42" t="n">
        <v>0</v>
      </c>
      <c r="L39" s="42" t="n">
        <v>0</v>
      </c>
      <c r="M39" s="42" t="n">
        <v>0</v>
      </c>
      <c r="N39" s="42" t="n">
        <v>1</v>
      </c>
    </row>
    <row r="40" customFormat="false" ht="15" hidden="false" customHeight="false" outlineLevel="0" collapsed="false">
      <c r="A40" s="30" t="n">
        <v>12</v>
      </c>
      <c r="B40" s="10"/>
      <c r="C40" s="10"/>
      <c r="D40" s="36"/>
      <c r="E40" s="19" t="s">
        <v>130</v>
      </c>
      <c r="F40" s="42" t="n">
        <v>0</v>
      </c>
      <c r="G40" s="42" t="n">
        <v>0</v>
      </c>
      <c r="H40" s="42" t="n">
        <v>0</v>
      </c>
      <c r="I40" s="42" t="n">
        <v>0</v>
      </c>
      <c r="J40" s="42" t="n">
        <v>1</v>
      </c>
      <c r="K40" s="42" t="n">
        <v>0</v>
      </c>
      <c r="L40" s="42" t="n">
        <v>0</v>
      </c>
      <c r="M40" s="42" t="n">
        <v>0</v>
      </c>
      <c r="N40" s="42" t="n">
        <v>1</v>
      </c>
    </row>
    <row r="41" customFormat="false" ht="23.85" hidden="false" customHeight="false" outlineLevel="0" collapsed="false">
      <c r="A41" s="30" t="n">
        <v>13</v>
      </c>
      <c r="B41" s="10" t="s">
        <v>147</v>
      </c>
      <c r="C41" s="10" t="s">
        <v>126</v>
      </c>
      <c r="D41" s="36" t="s">
        <v>127</v>
      </c>
      <c r="E41" s="19" t="s">
        <v>128</v>
      </c>
      <c r="F41" s="42" t="n">
        <v>0</v>
      </c>
      <c r="G41" s="42" t="n">
        <v>0</v>
      </c>
      <c r="H41" s="42" t="n">
        <v>0</v>
      </c>
      <c r="I41" s="42" t="n">
        <v>0</v>
      </c>
      <c r="J41" s="42" t="n">
        <v>1</v>
      </c>
      <c r="K41" s="42" t="n">
        <v>0</v>
      </c>
      <c r="L41" s="42" t="n">
        <v>0</v>
      </c>
      <c r="M41" s="42" t="n">
        <v>0</v>
      </c>
      <c r="N41" s="42" t="n">
        <v>1</v>
      </c>
    </row>
    <row r="42" customFormat="false" ht="15" hidden="false" customHeight="false" outlineLevel="0" collapsed="false">
      <c r="A42" s="30" t="n">
        <v>13</v>
      </c>
      <c r="B42" s="10"/>
      <c r="C42" s="10"/>
      <c r="D42" s="36"/>
      <c r="E42" s="19" t="s">
        <v>129</v>
      </c>
      <c r="F42" s="42" t="n">
        <v>0</v>
      </c>
      <c r="G42" s="42" t="n">
        <v>0</v>
      </c>
      <c r="H42" s="42" t="n">
        <v>0</v>
      </c>
      <c r="I42" s="42" t="n">
        <v>0</v>
      </c>
      <c r="J42" s="42" t="n">
        <v>0</v>
      </c>
      <c r="K42" s="42" t="n">
        <v>1</v>
      </c>
      <c r="L42" s="42" t="n">
        <v>1</v>
      </c>
      <c r="M42" s="42" t="n">
        <v>0</v>
      </c>
      <c r="N42" s="42" t="n">
        <v>1</v>
      </c>
    </row>
    <row r="43" customFormat="false" ht="15" hidden="false" customHeight="false" outlineLevel="0" collapsed="false">
      <c r="A43" s="30" t="n">
        <v>13</v>
      </c>
      <c r="B43" s="10"/>
      <c r="C43" s="10"/>
      <c r="D43" s="36"/>
      <c r="E43" s="19" t="s">
        <v>130</v>
      </c>
      <c r="F43" s="42" t="n">
        <v>0</v>
      </c>
      <c r="G43" s="42" t="n">
        <v>0</v>
      </c>
      <c r="H43" s="42" t="n">
        <v>0</v>
      </c>
      <c r="I43" s="42" t="n">
        <v>0</v>
      </c>
      <c r="J43" s="42" t="n">
        <v>0</v>
      </c>
      <c r="K43" s="42" t="n">
        <v>0</v>
      </c>
      <c r="L43" s="42" t="n">
        <v>0</v>
      </c>
      <c r="M43" s="42" t="n">
        <v>0</v>
      </c>
      <c r="N43" s="42" t="n">
        <v>0</v>
      </c>
    </row>
    <row r="44" customFormat="false" ht="15" hidden="false" customHeight="false" outlineLevel="0" collapsed="false">
      <c r="A44" s="30" t="n">
        <v>14</v>
      </c>
      <c r="B44" s="10" t="s">
        <v>148</v>
      </c>
      <c r="C44" s="10" t="s">
        <v>136</v>
      </c>
      <c r="D44" s="36" t="s">
        <v>127</v>
      </c>
      <c r="E44" s="19" t="s">
        <v>128</v>
      </c>
      <c r="F44" s="42" t="n">
        <v>0</v>
      </c>
      <c r="G44" s="42" t="n">
        <v>0</v>
      </c>
      <c r="H44" s="42" t="n">
        <v>0</v>
      </c>
      <c r="I44" s="42" t="n">
        <v>0</v>
      </c>
      <c r="J44" s="42" t="n">
        <v>0</v>
      </c>
      <c r="K44" s="42" t="n">
        <v>1</v>
      </c>
      <c r="L44" s="42" t="n">
        <v>0</v>
      </c>
      <c r="M44" s="42" t="n">
        <v>0</v>
      </c>
      <c r="N44" s="42" t="n">
        <v>1</v>
      </c>
    </row>
    <row r="45" customFormat="false" ht="15" hidden="false" customHeight="false" outlineLevel="0" collapsed="false">
      <c r="A45" s="30" t="n">
        <v>14</v>
      </c>
      <c r="B45" s="10"/>
      <c r="C45" s="10"/>
      <c r="D45" s="36"/>
      <c r="E45" s="19" t="s">
        <v>129</v>
      </c>
      <c r="F45" s="42" t="n">
        <v>0</v>
      </c>
      <c r="G45" s="42" t="n">
        <v>0</v>
      </c>
      <c r="H45" s="42" t="n">
        <v>0</v>
      </c>
      <c r="I45" s="42" t="n">
        <v>0</v>
      </c>
      <c r="J45" s="42" t="n">
        <v>0</v>
      </c>
      <c r="K45" s="42" t="n">
        <v>0</v>
      </c>
      <c r="L45" s="42" t="n">
        <v>1</v>
      </c>
      <c r="M45" s="42" t="n">
        <v>0</v>
      </c>
      <c r="N45" s="42" t="n">
        <v>1</v>
      </c>
    </row>
    <row r="46" customFormat="false" ht="15" hidden="false" customHeight="false" outlineLevel="0" collapsed="false">
      <c r="A46" s="30" t="n">
        <v>14</v>
      </c>
      <c r="B46" s="10"/>
      <c r="C46" s="10"/>
      <c r="D46" s="36"/>
      <c r="E46" s="19" t="s">
        <v>130</v>
      </c>
      <c r="F46" s="42" t="n">
        <v>0</v>
      </c>
      <c r="G46" s="42" t="n">
        <v>0</v>
      </c>
      <c r="H46" s="42" t="n">
        <v>0</v>
      </c>
      <c r="I46" s="42" t="n">
        <v>0</v>
      </c>
      <c r="J46" s="42" t="n">
        <v>0</v>
      </c>
      <c r="K46" s="42" t="n">
        <v>0</v>
      </c>
      <c r="L46" s="42" t="n">
        <v>0</v>
      </c>
      <c r="M46" s="42" t="n">
        <v>0</v>
      </c>
      <c r="N46" s="42" t="n">
        <v>0</v>
      </c>
    </row>
    <row r="47" customFormat="false" ht="15" hidden="false" customHeight="false" outlineLevel="0" collapsed="false">
      <c r="A47" s="30" t="n">
        <v>15</v>
      </c>
      <c r="B47" s="10" t="s">
        <v>149</v>
      </c>
      <c r="C47" s="10" t="s">
        <v>150</v>
      </c>
      <c r="D47" s="36" t="s">
        <v>93</v>
      </c>
      <c r="E47" s="19" t="s">
        <v>128</v>
      </c>
      <c r="F47" s="42" t="n">
        <v>0</v>
      </c>
      <c r="G47" s="42" t="n">
        <v>0</v>
      </c>
      <c r="H47" s="42" t="n">
        <v>0</v>
      </c>
      <c r="I47" s="42" t="n">
        <v>0</v>
      </c>
      <c r="J47" s="42" t="n">
        <v>1</v>
      </c>
      <c r="K47" s="42" t="n">
        <v>3</v>
      </c>
      <c r="L47" s="42" t="n">
        <v>4</v>
      </c>
      <c r="M47" s="42" t="n">
        <v>0</v>
      </c>
      <c r="N47" s="42" t="n">
        <v>8</v>
      </c>
    </row>
    <row r="48" customFormat="false" ht="15" hidden="false" customHeight="false" outlineLevel="0" collapsed="false">
      <c r="A48" s="30" t="n">
        <v>15</v>
      </c>
      <c r="B48" s="10"/>
      <c r="C48" s="10"/>
      <c r="D48" s="36"/>
      <c r="E48" s="19" t="s">
        <v>129</v>
      </c>
      <c r="F48" s="42" t="n">
        <v>0</v>
      </c>
      <c r="G48" s="42" t="n">
        <v>0</v>
      </c>
      <c r="H48" s="42" t="n">
        <v>0</v>
      </c>
      <c r="I48" s="42" t="n">
        <v>0</v>
      </c>
      <c r="J48" s="42" t="n">
        <v>3</v>
      </c>
      <c r="K48" s="42" t="n">
        <v>2</v>
      </c>
      <c r="L48" s="42" t="n">
        <v>1</v>
      </c>
      <c r="M48" s="42" t="n">
        <v>4</v>
      </c>
      <c r="N48" s="42" t="n">
        <v>8</v>
      </c>
    </row>
    <row r="49" customFormat="false" ht="15" hidden="false" customHeight="false" outlineLevel="0" collapsed="false">
      <c r="A49" s="30" t="n">
        <v>15</v>
      </c>
      <c r="B49" s="10"/>
      <c r="C49" s="10"/>
      <c r="D49" s="36"/>
      <c r="E49" s="19" t="s">
        <v>130</v>
      </c>
      <c r="F49" s="42" t="n">
        <v>0</v>
      </c>
      <c r="G49" s="42" t="n">
        <v>0</v>
      </c>
      <c r="H49" s="42" t="n">
        <v>0</v>
      </c>
      <c r="I49" s="42" t="n">
        <v>0</v>
      </c>
      <c r="J49" s="42" t="n">
        <v>1</v>
      </c>
      <c r="K49" s="42" t="n">
        <v>2</v>
      </c>
      <c r="L49" s="42" t="n">
        <v>1</v>
      </c>
      <c r="M49" s="42" t="n">
        <v>0</v>
      </c>
      <c r="N49" s="42" t="n">
        <v>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60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6"/>
    <col collapsed="false" customWidth="true" hidden="false" outlineLevel="0" max="14" min="6" style="0" width="13"/>
  </cols>
  <sheetData>
    <row r="1" customFormat="false" ht="15" hidden="false" customHeight="false" outlineLevel="0" collapsed="false">
      <c r="A1" s="28" t="s">
        <v>151</v>
      </c>
    </row>
    <row r="4" customFormat="false" ht="23.85" hidden="false" customHeight="false" outlineLevel="0" collapsed="false">
      <c r="A4" s="7" t="s">
        <v>74</v>
      </c>
      <c r="B4" s="7" t="s">
        <v>75</v>
      </c>
      <c r="C4" s="7" t="s">
        <v>121</v>
      </c>
      <c r="D4" s="7" t="s">
        <v>122</v>
      </c>
      <c r="E4" s="7" t="s">
        <v>123</v>
      </c>
      <c r="F4" s="7" t="n">
        <v>2020</v>
      </c>
      <c r="G4" s="7" t="n">
        <v>2021</v>
      </c>
      <c r="H4" s="7" t="n">
        <v>2022</v>
      </c>
      <c r="I4" s="7" t="n">
        <v>2023</v>
      </c>
      <c r="J4" s="7" t="n">
        <v>2024</v>
      </c>
      <c r="K4" s="7" t="n">
        <v>2025</v>
      </c>
      <c r="L4" s="7" t="n">
        <v>2026</v>
      </c>
      <c r="M4" s="7" t="n">
        <v>2027</v>
      </c>
      <c r="N4" s="7" t="s">
        <v>124</v>
      </c>
    </row>
    <row r="5" customFormat="false" ht="15" hidden="false" customHeight="false" outlineLevel="0" collapsed="false">
      <c r="A5" s="30" t="n">
        <v>1</v>
      </c>
      <c r="B5" s="10" t="s">
        <v>125</v>
      </c>
      <c r="C5" s="10" t="s">
        <v>126</v>
      </c>
      <c r="D5" s="36" t="s">
        <v>127</v>
      </c>
      <c r="E5" s="19" t="s">
        <v>128</v>
      </c>
      <c r="F5" s="33" t="n">
        <v>0</v>
      </c>
      <c r="G5" s="33" t="n">
        <v>0</v>
      </c>
      <c r="H5" s="33" t="n">
        <v>0</v>
      </c>
      <c r="I5" s="33" t="n">
        <v>64891</v>
      </c>
      <c r="J5" s="33" t="n">
        <v>693120</v>
      </c>
      <c r="K5" s="33" t="n">
        <v>0</v>
      </c>
      <c r="L5" s="33" t="n">
        <v>0</v>
      </c>
      <c r="M5" s="33" t="n">
        <v>0</v>
      </c>
      <c r="N5" s="33" t="n">
        <v>758011</v>
      </c>
    </row>
    <row r="6" customFormat="false" ht="15" hidden="false" customHeight="false" outlineLevel="0" collapsed="false">
      <c r="A6" s="30" t="n">
        <v>1</v>
      </c>
      <c r="B6" s="10"/>
      <c r="C6" s="10"/>
      <c r="D6" s="36"/>
      <c r="E6" s="19" t="s">
        <v>129</v>
      </c>
      <c r="F6" s="33" t="n">
        <v>0</v>
      </c>
      <c r="G6" s="33" t="n">
        <v>0</v>
      </c>
      <c r="H6" s="33" t="n">
        <v>0</v>
      </c>
      <c r="I6" s="33" t="n">
        <v>195000</v>
      </c>
      <c r="J6" s="33" t="n">
        <v>255976</v>
      </c>
      <c r="K6" s="33" t="n">
        <v>0</v>
      </c>
      <c r="L6" s="33" t="n">
        <v>0</v>
      </c>
      <c r="M6" s="33" t="n">
        <v>0</v>
      </c>
      <c r="N6" s="33" t="n">
        <v>224656.16</v>
      </c>
    </row>
    <row r="7" customFormat="false" ht="15" hidden="false" customHeight="false" outlineLevel="0" collapsed="false">
      <c r="A7" s="30" t="n">
        <v>1</v>
      </c>
      <c r="B7" s="10"/>
      <c r="C7" s="10"/>
      <c r="D7" s="36"/>
      <c r="E7" s="19" t="s">
        <v>130</v>
      </c>
      <c r="F7" s="33" t="n">
        <v>0</v>
      </c>
      <c r="G7" s="33" t="n">
        <v>0</v>
      </c>
      <c r="H7" s="33" t="n">
        <v>17510</v>
      </c>
      <c r="I7" s="33" t="n">
        <v>4680</v>
      </c>
      <c r="J7" s="33" t="n">
        <v>202466.16</v>
      </c>
      <c r="K7" s="33" t="n">
        <v>0</v>
      </c>
      <c r="L7" s="33" t="n">
        <v>0</v>
      </c>
      <c r="M7" s="33" t="n">
        <v>0</v>
      </c>
      <c r="N7" s="33" t="n">
        <v>224656.16</v>
      </c>
    </row>
    <row r="8" customFormat="false" ht="15" hidden="false" customHeight="false" outlineLevel="0" collapsed="false">
      <c r="A8" s="30" t="n">
        <v>2</v>
      </c>
      <c r="B8" s="10" t="s">
        <v>131</v>
      </c>
      <c r="C8" s="10" t="s">
        <v>126</v>
      </c>
      <c r="D8" s="36" t="s">
        <v>127</v>
      </c>
      <c r="E8" s="19" t="s">
        <v>128</v>
      </c>
      <c r="F8" s="33" t="n">
        <v>0</v>
      </c>
      <c r="G8" s="33" t="n">
        <v>0</v>
      </c>
      <c r="H8" s="33" t="n">
        <v>0</v>
      </c>
      <c r="I8" s="33" t="n">
        <v>67500</v>
      </c>
      <c r="J8" s="33" t="n">
        <v>2979157</v>
      </c>
      <c r="K8" s="33" t="n">
        <v>57800</v>
      </c>
      <c r="L8" s="33" t="n">
        <v>0</v>
      </c>
      <c r="M8" s="33" t="n">
        <v>0</v>
      </c>
      <c r="N8" s="33" t="n">
        <v>3104457</v>
      </c>
    </row>
    <row r="9" customFormat="false" ht="15" hidden="false" customHeight="false" outlineLevel="0" collapsed="false">
      <c r="A9" s="30" t="n">
        <v>2</v>
      </c>
      <c r="B9" s="10"/>
      <c r="C9" s="10"/>
      <c r="D9" s="36"/>
      <c r="E9" s="19" t="s">
        <v>129</v>
      </c>
      <c r="F9" s="33" t="n">
        <v>0</v>
      </c>
      <c r="G9" s="33" t="n">
        <v>0</v>
      </c>
      <c r="H9" s="33" t="n">
        <v>0</v>
      </c>
      <c r="I9" s="33" t="n">
        <v>0</v>
      </c>
      <c r="J9" s="33" t="n">
        <v>4680</v>
      </c>
      <c r="K9" s="33" t="n">
        <v>0</v>
      </c>
      <c r="L9" s="33" t="n">
        <v>0</v>
      </c>
      <c r="M9" s="33" t="n">
        <v>0</v>
      </c>
      <c r="N9" s="33" t="n">
        <v>23360</v>
      </c>
    </row>
    <row r="10" customFormat="false" ht="15" hidden="false" customHeight="false" outlineLevel="0" collapsed="false">
      <c r="A10" s="30" t="n">
        <v>2</v>
      </c>
      <c r="B10" s="10"/>
      <c r="C10" s="10"/>
      <c r="D10" s="36"/>
      <c r="E10" s="19" t="s">
        <v>130</v>
      </c>
      <c r="F10" s="33" t="n">
        <v>0</v>
      </c>
      <c r="G10" s="33" t="n">
        <v>0</v>
      </c>
      <c r="H10" s="33" t="n">
        <v>17510</v>
      </c>
      <c r="I10" s="33" t="n">
        <v>4680</v>
      </c>
      <c r="J10" s="33" t="n">
        <v>1170</v>
      </c>
      <c r="K10" s="33" t="n">
        <v>0</v>
      </c>
      <c r="L10" s="33" t="n">
        <v>0</v>
      </c>
      <c r="M10" s="33" t="n">
        <v>0</v>
      </c>
      <c r="N10" s="33" t="n">
        <v>23360</v>
      </c>
    </row>
    <row r="11" customFormat="false" ht="23.85" hidden="false" customHeight="false" outlineLevel="0" collapsed="false">
      <c r="A11" s="30" t="n">
        <v>3</v>
      </c>
      <c r="B11" s="10" t="s">
        <v>132</v>
      </c>
      <c r="C11" s="10" t="s">
        <v>133</v>
      </c>
      <c r="D11" s="36" t="s">
        <v>127</v>
      </c>
      <c r="E11" s="19" t="s">
        <v>128</v>
      </c>
      <c r="F11" s="33" t="n">
        <v>0</v>
      </c>
      <c r="G11" s="33" t="n">
        <v>0</v>
      </c>
      <c r="H11" s="33" t="n">
        <v>0</v>
      </c>
      <c r="I11" s="33" t="n">
        <v>13500</v>
      </c>
      <c r="J11" s="33" t="n">
        <v>220500</v>
      </c>
      <c r="K11" s="33" t="n">
        <v>66000</v>
      </c>
      <c r="L11" s="33" t="n">
        <v>0</v>
      </c>
      <c r="M11" s="33" t="n">
        <v>0</v>
      </c>
      <c r="N11" s="33" t="n">
        <v>300000</v>
      </c>
    </row>
    <row r="12" customFormat="false" ht="15" hidden="false" customHeight="false" outlineLevel="0" collapsed="false">
      <c r="A12" s="30" t="n">
        <v>3</v>
      </c>
      <c r="B12" s="10"/>
      <c r="C12" s="10"/>
      <c r="D12" s="36"/>
      <c r="E12" s="19" t="s">
        <v>129</v>
      </c>
      <c r="F12" s="33" t="n">
        <v>0</v>
      </c>
      <c r="G12" s="33" t="n">
        <v>0</v>
      </c>
      <c r="H12" s="33" t="n">
        <v>0</v>
      </c>
      <c r="I12" s="33" t="n">
        <v>151348</v>
      </c>
      <c r="J12" s="33" t="n">
        <v>62513</v>
      </c>
      <c r="K12" s="33" t="n">
        <v>0</v>
      </c>
      <c r="L12" s="33" t="n">
        <v>0</v>
      </c>
      <c r="M12" s="33" t="n">
        <v>0</v>
      </c>
      <c r="N12" s="33" t="n">
        <v>140489.6</v>
      </c>
    </row>
    <row r="13" customFormat="false" ht="15" hidden="false" customHeight="false" outlineLevel="0" collapsed="false">
      <c r="A13" s="30" t="n">
        <v>3</v>
      </c>
      <c r="B13" s="10"/>
      <c r="C13" s="10"/>
      <c r="D13" s="36"/>
      <c r="E13" s="19" t="s">
        <v>130</v>
      </c>
      <c r="F13" s="33" t="n">
        <v>0</v>
      </c>
      <c r="G13" s="33" t="n">
        <v>0</v>
      </c>
      <c r="H13" s="33" t="n">
        <v>34226.5</v>
      </c>
      <c r="I13" s="33" t="n">
        <v>96930.59</v>
      </c>
      <c r="J13" s="33" t="n">
        <v>9332.51</v>
      </c>
      <c r="K13" s="33" t="n">
        <v>0</v>
      </c>
      <c r="L13" s="33" t="n">
        <v>0</v>
      </c>
      <c r="M13" s="33" t="n">
        <v>0</v>
      </c>
      <c r="N13" s="33" t="n">
        <v>140489.6</v>
      </c>
    </row>
    <row r="14" customFormat="false" ht="23.85" hidden="false" customHeight="false" outlineLevel="0" collapsed="false">
      <c r="A14" s="30" t="n">
        <v>4</v>
      </c>
      <c r="B14" s="10" t="s">
        <v>134</v>
      </c>
      <c r="C14" s="10" t="s">
        <v>126</v>
      </c>
      <c r="D14" s="36" t="s">
        <v>127</v>
      </c>
      <c r="E14" s="19" t="s">
        <v>128</v>
      </c>
      <c r="F14" s="33" t="n">
        <v>0</v>
      </c>
      <c r="G14" s="33" t="n">
        <v>0</v>
      </c>
      <c r="H14" s="33" t="n">
        <v>36068</v>
      </c>
      <c r="I14" s="33" t="n">
        <v>442733</v>
      </c>
      <c r="J14" s="33" t="n">
        <v>977900</v>
      </c>
      <c r="K14" s="33" t="n">
        <v>146300</v>
      </c>
      <c r="L14" s="33" t="n">
        <v>0</v>
      </c>
      <c r="M14" s="33" t="n">
        <v>0</v>
      </c>
      <c r="N14" s="33" t="n">
        <v>1603001</v>
      </c>
    </row>
    <row r="15" customFormat="false" ht="15" hidden="false" customHeight="false" outlineLevel="0" collapsed="false">
      <c r="A15" s="30" t="n">
        <v>4</v>
      </c>
      <c r="B15" s="10"/>
      <c r="C15" s="10"/>
      <c r="D15" s="36"/>
      <c r="E15" s="19" t="s">
        <v>129</v>
      </c>
      <c r="F15" s="33" t="n">
        <v>0</v>
      </c>
      <c r="G15" s="33" t="n">
        <v>0</v>
      </c>
      <c r="H15" s="33" t="n">
        <v>36068</v>
      </c>
      <c r="I15" s="33" t="n">
        <v>129352</v>
      </c>
      <c r="J15" s="33" t="n">
        <v>59013</v>
      </c>
      <c r="K15" s="33" t="n">
        <v>683150.38</v>
      </c>
      <c r="L15" s="33" t="n">
        <v>806934.43</v>
      </c>
      <c r="M15" s="33" t="n">
        <v>0</v>
      </c>
      <c r="N15" s="33" t="n">
        <v>1399764.24</v>
      </c>
    </row>
    <row r="16" customFormat="false" ht="15" hidden="false" customHeight="false" outlineLevel="0" collapsed="false">
      <c r="A16" s="30" t="n">
        <v>4</v>
      </c>
      <c r="B16" s="10"/>
      <c r="C16" s="10"/>
      <c r="D16" s="36"/>
      <c r="E16" s="19" t="s">
        <v>130</v>
      </c>
      <c r="F16" s="33" t="n">
        <v>0</v>
      </c>
      <c r="G16" s="33" t="n">
        <v>0</v>
      </c>
      <c r="H16" s="33" t="n">
        <v>34226.5</v>
      </c>
      <c r="I16" s="33" t="n">
        <v>83796.67</v>
      </c>
      <c r="J16" s="33" t="n">
        <v>164071.05</v>
      </c>
      <c r="K16" s="33" t="n">
        <v>310735.59</v>
      </c>
      <c r="L16" s="33" t="n">
        <v>242643.82</v>
      </c>
      <c r="M16" s="33" t="n">
        <v>0</v>
      </c>
      <c r="N16" s="33" t="n">
        <v>835473.63</v>
      </c>
    </row>
    <row r="17" customFormat="false" ht="23.85" hidden="false" customHeight="false" outlineLevel="0" collapsed="false">
      <c r="A17" s="30" t="n">
        <v>5</v>
      </c>
      <c r="B17" s="10" t="s">
        <v>135</v>
      </c>
      <c r="C17" s="10" t="s">
        <v>136</v>
      </c>
      <c r="D17" s="36" t="s">
        <v>127</v>
      </c>
      <c r="E17" s="19" t="s">
        <v>128</v>
      </c>
      <c r="F17" s="33" t="n">
        <v>0</v>
      </c>
      <c r="G17" s="33" t="n">
        <v>0</v>
      </c>
      <c r="H17" s="33" t="n">
        <v>0</v>
      </c>
      <c r="I17" s="33" t="n">
        <v>0</v>
      </c>
      <c r="J17" s="33" t="n">
        <v>94167</v>
      </c>
      <c r="K17" s="33" t="n">
        <v>55833</v>
      </c>
      <c r="L17" s="33" t="n">
        <v>0</v>
      </c>
      <c r="M17" s="33" t="n">
        <v>0</v>
      </c>
      <c r="N17" s="33" t="n">
        <v>150000</v>
      </c>
    </row>
    <row r="18" customFormat="false" ht="15" hidden="false" customHeight="false" outlineLevel="0" collapsed="false">
      <c r="A18" s="30" t="n">
        <v>5</v>
      </c>
      <c r="B18" s="10"/>
      <c r="C18" s="10"/>
      <c r="D18" s="36"/>
      <c r="E18" s="19" t="s">
        <v>129</v>
      </c>
      <c r="F18" s="33" t="n">
        <v>0</v>
      </c>
      <c r="G18" s="33" t="n">
        <v>0</v>
      </c>
      <c r="H18" s="33" t="n">
        <v>0</v>
      </c>
      <c r="I18" s="33" t="n">
        <v>0</v>
      </c>
      <c r="J18" s="33" t="n">
        <v>10000</v>
      </c>
      <c r="K18" s="33" t="n">
        <v>52848.33</v>
      </c>
      <c r="L18" s="33" t="n">
        <v>43162.5</v>
      </c>
      <c r="M18" s="33" t="n">
        <v>0</v>
      </c>
      <c r="N18" s="33" t="n">
        <v>130000</v>
      </c>
    </row>
    <row r="19" customFormat="false" ht="15" hidden="false" customHeight="false" outlineLevel="0" collapsed="false">
      <c r="A19" s="30" t="n">
        <v>5</v>
      </c>
      <c r="B19" s="10"/>
      <c r="C19" s="10"/>
      <c r="D19" s="36"/>
      <c r="E19" s="19" t="s">
        <v>130</v>
      </c>
      <c r="F19" s="33" t="n">
        <v>0</v>
      </c>
      <c r="G19" s="33" t="n">
        <v>0</v>
      </c>
      <c r="H19" s="33" t="n">
        <v>0</v>
      </c>
      <c r="I19" s="33" t="n">
        <v>0</v>
      </c>
      <c r="J19" s="33" t="n">
        <v>18375</v>
      </c>
      <c r="K19" s="33" t="n">
        <v>68462.5</v>
      </c>
      <c r="L19" s="33" t="n">
        <v>10800</v>
      </c>
      <c r="M19" s="33" t="n">
        <v>0</v>
      </c>
      <c r="N19" s="33" t="n">
        <v>97637.5</v>
      </c>
    </row>
    <row r="20" customFormat="false" ht="23.85" hidden="false" customHeight="false" outlineLevel="0" collapsed="false">
      <c r="A20" s="30" t="n">
        <v>6</v>
      </c>
      <c r="B20" s="10" t="s">
        <v>137</v>
      </c>
      <c r="C20" s="10" t="s">
        <v>126</v>
      </c>
      <c r="D20" s="36" t="s">
        <v>127</v>
      </c>
      <c r="E20" s="19" t="s">
        <v>128</v>
      </c>
      <c r="F20" s="33" t="n">
        <v>0</v>
      </c>
      <c r="G20" s="33" t="n">
        <v>0</v>
      </c>
      <c r="H20" s="33" t="n">
        <v>0</v>
      </c>
      <c r="I20" s="33" t="n">
        <v>40000</v>
      </c>
      <c r="J20" s="33" t="n">
        <v>144450</v>
      </c>
      <c r="K20" s="33" t="n">
        <v>65550</v>
      </c>
      <c r="L20" s="33" t="n">
        <v>0</v>
      </c>
      <c r="M20" s="33" t="n">
        <v>0</v>
      </c>
      <c r="N20" s="33" t="n">
        <v>250000</v>
      </c>
    </row>
    <row r="21" customFormat="false" ht="15" hidden="false" customHeight="false" outlineLevel="0" collapsed="false">
      <c r="A21" s="30" t="n">
        <v>6</v>
      </c>
      <c r="B21" s="10"/>
      <c r="C21" s="10"/>
      <c r="D21" s="36"/>
      <c r="E21" s="19" t="s">
        <v>129</v>
      </c>
      <c r="F21" s="33" t="n">
        <v>0</v>
      </c>
      <c r="G21" s="33" t="n">
        <v>0</v>
      </c>
      <c r="H21" s="33" t="n">
        <v>0</v>
      </c>
      <c r="I21" s="33" t="n">
        <v>42990</v>
      </c>
      <c r="J21" s="33" t="n">
        <v>50813</v>
      </c>
      <c r="K21" s="33" t="n">
        <v>331486</v>
      </c>
      <c r="L21" s="33" t="n">
        <v>132506.09</v>
      </c>
      <c r="M21" s="33" t="n">
        <v>0</v>
      </c>
      <c r="N21" s="33" t="n">
        <v>365000</v>
      </c>
    </row>
    <row r="22" customFormat="false" ht="15" hidden="false" customHeight="false" outlineLevel="0" collapsed="false">
      <c r="A22" s="30" t="n">
        <v>6</v>
      </c>
      <c r="B22" s="10"/>
      <c r="C22" s="10"/>
      <c r="D22" s="36"/>
      <c r="E22" s="19" t="s">
        <v>130</v>
      </c>
      <c r="F22" s="33" t="n">
        <v>0</v>
      </c>
      <c r="G22" s="33" t="n">
        <v>0</v>
      </c>
      <c r="H22" s="33" t="n">
        <v>3510</v>
      </c>
      <c r="I22" s="33" t="n">
        <v>18580</v>
      </c>
      <c r="J22" s="33" t="n">
        <v>59200</v>
      </c>
      <c r="K22" s="33" t="n">
        <v>151203.91</v>
      </c>
      <c r="L22" s="33" t="n">
        <v>44753.04</v>
      </c>
      <c r="M22" s="33" t="n">
        <v>0</v>
      </c>
      <c r="N22" s="33" t="n">
        <v>277246.95</v>
      </c>
    </row>
    <row r="23" customFormat="false" ht="23.85" hidden="false" customHeight="false" outlineLevel="0" collapsed="false">
      <c r="A23" s="30" t="n">
        <v>7</v>
      </c>
      <c r="B23" s="10" t="s">
        <v>138</v>
      </c>
      <c r="C23" s="10" t="s">
        <v>139</v>
      </c>
      <c r="D23" s="36" t="s">
        <v>93</v>
      </c>
      <c r="E23" s="19" t="s">
        <v>128</v>
      </c>
      <c r="F23" s="33" t="n">
        <v>0</v>
      </c>
      <c r="G23" s="33" t="n">
        <v>0</v>
      </c>
      <c r="H23" s="33" t="n">
        <v>1890878</v>
      </c>
      <c r="I23" s="33" t="n">
        <v>5454037</v>
      </c>
      <c r="J23" s="33" t="n">
        <v>16701808</v>
      </c>
      <c r="K23" s="33" t="n">
        <v>20600459</v>
      </c>
      <c r="L23" s="33" t="n">
        <v>12187349</v>
      </c>
      <c r="M23" s="33" t="n">
        <v>0</v>
      </c>
      <c r="N23" s="33" t="n">
        <v>56834531</v>
      </c>
    </row>
    <row r="24" customFormat="false" ht="15" hidden="false" customHeight="false" outlineLevel="0" collapsed="false">
      <c r="A24" s="30" t="n">
        <v>7</v>
      </c>
      <c r="B24" s="10"/>
      <c r="C24" s="10"/>
      <c r="D24" s="36"/>
      <c r="E24" s="19" t="s">
        <v>129</v>
      </c>
      <c r="F24" s="33" t="n">
        <v>0</v>
      </c>
      <c r="G24" s="33" t="n">
        <v>0</v>
      </c>
      <c r="H24" s="33" t="n">
        <v>1890878</v>
      </c>
      <c r="I24" s="33" t="n">
        <v>8434713.27</v>
      </c>
      <c r="J24" s="33" t="n">
        <v>22340305</v>
      </c>
      <c r="K24" s="33" t="n">
        <v>12762870.76</v>
      </c>
      <c r="L24" s="33" t="n">
        <v>16810687.62</v>
      </c>
      <c r="M24" s="33" t="n">
        <v>6661621.79</v>
      </c>
      <c r="N24" s="33" t="n">
        <v>56834530</v>
      </c>
    </row>
    <row r="25" customFormat="false" ht="15" hidden="false" customHeight="false" outlineLevel="0" collapsed="false">
      <c r="A25" s="30" t="n">
        <v>7</v>
      </c>
      <c r="B25" s="10"/>
      <c r="C25" s="10"/>
      <c r="D25" s="36"/>
      <c r="E25" s="19" t="s">
        <v>130</v>
      </c>
      <c r="F25" s="33" t="n">
        <v>0</v>
      </c>
      <c r="G25" s="33" t="n">
        <v>0</v>
      </c>
      <c r="H25" s="33" t="n">
        <v>400247</v>
      </c>
      <c r="I25" s="33" t="n">
        <v>4173815.45</v>
      </c>
      <c r="J25" s="33" t="n">
        <v>13528670.97</v>
      </c>
      <c r="K25" s="33" t="n">
        <v>15259487.17</v>
      </c>
      <c r="L25" s="33" t="n">
        <v>12836195.66</v>
      </c>
      <c r="M25" s="33" t="n">
        <v>0</v>
      </c>
      <c r="N25" s="33" t="n">
        <v>46198416.25</v>
      </c>
    </row>
    <row r="26" customFormat="false" ht="23.85" hidden="false" customHeight="false" outlineLevel="0" collapsed="false">
      <c r="A26" s="30" t="n">
        <v>8</v>
      </c>
      <c r="B26" s="10" t="s">
        <v>140</v>
      </c>
      <c r="C26" s="10" t="s">
        <v>141</v>
      </c>
      <c r="D26" s="36" t="s">
        <v>127</v>
      </c>
      <c r="E26" s="19" t="s">
        <v>128</v>
      </c>
      <c r="F26" s="33" t="n">
        <v>0</v>
      </c>
      <c r="G26" s="33" t="n">
        <v>0</v>
      </c>
      <c r="H26" s="33" t="n">
        <v>0</v>
      </c>
      <c r="I26" s="33" t="n">
        <v>0</v>
      </c>
      <c r="J26" s="33" t="n">
        <v>0</v>
      </c>
      <c r="K26" s="33" t="n">
        <v>0</v>
      </c>
      <c r="L26" s="33" t="n">
        <v>0</v>
      </c>
      <c r="M26" s="33" t="n">
        <v>0</v>
      </c>
      <c r="N26" s="33" t="n">
        <v>0</v>
      </c>
    </row>
    <row r="27" customFormat="false" ht="15" hidden="false" customHeight="false" outlineLevel="0" collapsed="false">
      <c r="A27" s="30" t="n">
        <v>8</v>
      </c>
      <c r="B27" s="10"/>
      <c r="C27" s="10"/>
      <c r="D27" s="36"/>
      <c r="E27" s="19" t="s">
        <v>129</v>
      </c>
      <c r="F27" s="33" t="n">
        <v>0</v>
      </c>
      <c r="G27" s="33" t="n">
        <v>0</v>
      </c>
      <c r="H27" s="33" t="n">
        <v>0</v>
      </c>
      <c r="I27" s="33" t="n">
        <v>0</v>
      </c>
      <c r="J27" s="33" t="n">
        <v>0</v>
      </c>
      <c r="K27" s="33" t="n">
        <v>607500</v>
      </c>
      <c r="L27" s="33" t="n">
        <v>2247328.85</v>
      </c>
      <c r="M27" s="33" t="n">
        <v>719443.75</v>
      </c>
      <c r="N27" s="33" t="n">
        <v>3882200</v>
      </c>
    </row>
    <row r="28" customFormat="false" ht="15" hidden="false" customHeight="false" outlineLevel="0" collapsed="false">
      <c r="A28" s="30" t="n">
        <v>8</v>
      </c>
      <c r="B28" s="10"/>
      <c r="C28" s="10"/>
      <c r="D28" s="36"/>
      <c r="E28" s="19" t="s">
        <v>130</v>
      </c>
      <c r="F28" s="33" t="n">
        <v>0</v>
      </c>
      <c r="G28" s="33" t="n">
        <v>0</v>
      </c>
      <c r="H28" s="33" t="n">
        <v>0</v>
      </c>
      <c r="I28" s="33" t="n">
        <v>0</v>
      </c>
      <c r="J28" s="33" t="n">
        <v>0</v>
      </c>
      <c r="K28" s="33" t="n">
        <v>915427.4</v>
      </c>
      <c r="L28" s="33" t="n">
        <v>1583816.33</v>
      </c>
      <c r="M28" s="33" t="n">
        <v>0</v>
      </c>
      <c r="N28" s="33" t="n">
        <v>2499243.73</v>
      </c>
    </row>
    <row r="29" customFormat="false" ht="23.85" hidden="false" customHeight="false" outlineLevel="0" collapsed="false">
      <c r="A29" s="30" t="n">
        <v>9</v>
      </c>
      <c r="B29" s="10" t="s">
        <v>142</v>
      </c>
      <c r="C29" s="10" t="s">
        <v>126</v>
      </c>
      <c r="D29" s="36" t="s">
        <v>127</v>
      </c>
      <c r="E29" s="19" t="s">
        <v>128</v>
      </c>
      <c r="F29" s="33" t="n">
        <v>0</v>
      </c>
      <c r="G29" s="33" t="n">
        <v>0</v>
      </c>
      <c r="H29" s="33" t="n">
        <v>28350</v>
      </c>
      <c r="I29" s="33" t="n">
        <v>105025</v>
      </c>
      <c r="J29" s="33" t="n">
        <v>105850</v>
      </c>
      <c r="K29" s="33" t="n">
        <v>60775</v>
      </c>
      <c r="L29" s="33" t="n">
        <v>0</v>
      </c>
      <c r="M29" s="33" t="n">
        <v>0</v>
      </c>
      <c r="N29" s="33" t="n">
        <v>300000</v>
      </c>
    </row>
    <row r="30" customFormat="false" ht="15" hidden="false" customHeight="false" outlineLevel="0" collapsed="false">
      <c r="A30" s="30" t="n">
        <v>9</v>
      </c>
      <c r="B30" s="10"/>
      <c r="C30" s="10"/>
      <c r="D30" s="36"/>
      <c r="E30" s="19" t="s">
        <v>129</v>
      </c>
      <c r="F30" s="33" t="n">
        <v>0</v>
      </c>
      <c r="G30" s="33" t="n">
        <v>0</v>
      </c>
      <c r="H30" s="33" t="n">
        <v>28350</v>
      </c>
      <c r="I30" s="33" t="n">
        <v>10000</v>
      </c>
      <c r="J30" s="33" t="n">
        <v>63200</v>
      </c>
      <c r="K30" s="33" t="n">
        <v>232413.63</v>
      </c>
      <c r="L30" s="33" t="n">
        <v>228649.42</v>
      </c>
      <c r="M30" s="33" t="n">
        <v>0</v>
      </c>
      <c r="N30" s="33" t="n">
        <v>353000</v>
      </c>
    </row>
    <row r="31" customFormat="false" ht="15" hidden="false" customHeight="false" outlineLevel="0" collapsed="false">
      <c r="A31" s="30" t="n">
        <v>9</v>
      </c>
      <c r="B31" s="10"/>
      <c r="C31" s="10"/>
      <c r="D31" s="36"/>
      <c r="E31" s="19" t="s">
        <v>130</v>
      </c>
      <c r="F31" s="33" t="n">
        <v>0</v>
      </c>
      <c r="G31" s="33" t="n">
        <v>0</v>
      </c>
      <c r="H31" s="33" t="n">
        <v>0</v>
      </c>
      <c r="I31" s="33" t="n">
        <v>4578.73</v>
      </c>
      <c r="J31" s="33" t="n">
        <v>29506.28</v>
      </c>
      <c r="K31" s="33" t="n">
        <v>90265.57</v>
      </c>
      <c r="L31" s="33" t="n">
        <v>55564.52</v>
      </c>
      <c r="M31" s="33" t="n">
        <v>0</v>
      </c>
      <c r="N31" s="33" t="n">
        <v>179915.1</v>
      </c>
    </row>
    <row r="32" customFormat="false" ht="23.85" hidden="false" customHeight="false" outlineLevel="0" collapsed="false">
      <c r="A32" s="30" t="n">
        <v>10</v>
      </c>
      <c r="B32" s="10" t="s">
        <v>143</v>
      </c>
      <c r="C32" s="10" t="s">
        <v>126</v>
      </c>
      <c r="D32" s="36" t="s">
        <v>127</v>
      </c>
      <c r="E32" s="19" t="s">
        <v>128</v>
      </c>
      <c r="F32" s="33" t="n">
        <v>0</v>
      </c>
      <c r="G32" s="33" t="n">
        <v>0</v>
      </c>
      <c r="H32" s="33" t="n">
        <v>8540</v>
      </c>
      <c r="I32" s="33" t="n">
        <v>78226</v>
      </c>
      <c r="J32" s="33" t="n">
        <v>44203</v>
      </c>
      <c r="K32" s="33" t="n">
        <v>14031</v>
      </c>
      <c r="L32" s="33" t="n">
        <v>0</v>
      </c>
      <c r="M32" s="33" t="n">
        <v>0</v>
      </c>
      <c r="N32" s="33" t="n">
        <v>145000</v>
      </c>
    </row>
    <row r="33" customFormat="false" ht="15" hidden="false" customHeight="false" outlineLevel="0" collapsed="false">
      <c r="A33" s="30" t="n">
        <v>10</v>
      </c>
      <c r="B33" s="10"/>
      <c r="C33" s="10"/>
      <c r="D33" s="36"/>
      <c r="E33" s="19" t="s">
        <v>129</v>
      </c>
      <c r="F33" s="33" t="n">
        <v>0</v>
      </c>
      <c r="G33" s="33" t="n">
        <v>0</v>
      </c>
      <c r="H33" s="33" t="n">
        <v>8540</v>
      </c>
      <c r="I33" s="33" t="n">
        <v>4320</v>
      </c>
      <c r="J33" s="33" t="n">
        <v>10000</v>
      </c>
      <c r="K33" s="33" t="n">
        <v>46125</v>
      </c>
      <c r="L33" s="33" t="n">
        <v>141855</v>
      </c>
      <c r="M33" s="33" t="n">
        <v>0</v>
      </c>
      <c r="N33" s="33" t="n">
        <v>141855</v>
      </c>
    </row>
    <row r="34" customFormat="false" ht="15" hidden="false" customHeight="false" outlineLevel="0" collapsed="false">
      <c r="A34" s="30" t="n">
        <v>10</v>
      </c>
      <c r="B34" s="10"/>
      <c r="C34" s="10"/>
      <c r="D34" s="36"/>
      <c r="E34" s="19" t="s">
        <v>130</v>
      </c>
      <c r="F34" s="33" t="n">
        <v>0</v>
      </c>
      <c r="G34" s="33" t="n">
        <v>0</v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0</v>
      </c>
      <c r="M34" s="33" t="n">
        <v>0</v>
      </c>
      <c r="N34" s="33" t="n">
        <v>0</v>
      </c>
    </row>
    <row r="35" customFormat="false" ht="23.85" hidden="false" customHeight="false" outlineLevel="0" collapsed="false">
      <c r="A35" s="30" t="n">
        <v>11</v>
      </c>
      <c r="B35" s="10" t="s">
        <v>144</v>
      </c>
      <c r="C35" s="10" t="s">
        <v>145</v>
      </c>
      <c r="D35" s="36" t="s">
        <v>127</v>
      </c>
      <c r="E35" s="19" t="s">
        <v>128</v>
      </c>
      <c r="F35" s="33" t="n">
        <v>0</v>
      </c>
      <c r="G35" s="33" t="n">
        <v>0</v>
      </c>
      <c r="H35" s="33" t="n">
        <v>12482</v>
      </c>
      <c r="I35" s="33" t="n">
        <v>26790</v>
      </c>
      <c r="J35" s="33" t="n">
        <v>33513</v>
      </c>
      <c r="K35" s="33" t="n">
        <v>24715</v>
      </c>
      <c r="L35" s="33" t="n">
        <v>0</v>
      </c>
      <c r="M35" s="33" t="n">
        <v>0</v>
      </c>
      <c r="N35" s="33" t="n">
        <v>97500</v>
      </c>
    </row>
    <row r="36" customFormat="false" ht="15" hidden="false" customHeight="false" outlineLevel="0" collapsed="false">
      <c r="A36" s="30" t="n">
        <v>11</v>
      </c>
      <c r="B36" s="10"/>
      <c r="C36" s="10"/>
      <c r="D36" s="36"/>
      <c r="E36" s="19" t="s">
        <v>129</v>
      </c>
      <c r="F36" s="33" t="n">
        <v>0</v>
      </c>
      <c r="G36" s="33" t="n">
        <v>0</v>
      </c>
      <c r="H36" s="33" t="n">
        <v>12482</v>
      </c>
      <c r="I36" s="33" t="n">
        <v>23335.75</v>
      </c>
      <c r="J36" s="33" t="n">
        <v>26558</v>
      </c>
      <c r="K36" s="33" t="n">
        <v>21428</v>
      </c>
      <c r="L36" s="33" t="n">
        <v>22748.16</v>
      </c>
      <c r="M36" s="33" t="n">
        <v>0</v>
      </c>
      <c r="N36" s="33" t="n">
        <v>97495</v>
      </c>
    </row>
    <row r="37" customFormat="false" ht="15" hidden="false" customHeight="false" outlineLevel="0" collapsed="false">
      <c r="A37" s="30" t="n">
        <v>11</v>
      </c>
      <c r="B37" s="10"/>
      <c r="C37" s="10"/>
      <c r="D37" s="36"/>
      <c r="E37" s="19" t="s">
        <v>130</v>
      </c>
      <c r="F37" s="33" t="n">
        <v>0</v>
      </c>
      <c r="G37" s="33" t="n">
        <v>0</v>
      </c>
      <c r="H37" s="33" t="n">
        <v>4709.25</v>
      </c>
      <c r="I37" s="33" t="n">
        <v>27998</v>
      </c>
      <c r="J37" s="33" t="n">
        <v>19254.59</v>
      </c>
      <c r="K37" s="33" t="n">
        <v>22785</v>
      </c>
      <c r="L37" s="33" t="n">
        <v>6300</v>
      </c>
      <c r="M37" s="33" t="n">
        <v>0</v>
      </c>
      <c r="N37" s="33" t="n">
        <v>81046.84</v>
      </c>
    </row>
    <row r="38" customFormat="false" ht="23.85" hidden="false" customHeight="false" outlineLevel="0" collapsed="false">
      <c r="A38" s="30" t="n">
        <v>12</v>
      </c>
      <c r="B38" s="10" t="s">
        <v>146</v>
      </c>
      <c r="C38" s="10" t="s">
        <v>126</v>
      </c>
      <c r="D38" s="36" t="s">
        <v>127</v>
      </c>
      <c r="E38" s="19" t="s">
        <v>128</v>
      </c>
      <c r="F38" s="33" t="n">
        <v>0</v>
      </c>
      <c r="G38" s="33" t="n">
        <v>0</v>
      </c>
      <c r="H38" s="33" t="n">
        <v>0</v>
      </c>
      <c r="I38" s="33" t="n">
        <v>18696</v>
      </c>
      <c r="J38" s="33" t="n">
        <v>38652</v>
      </c>
      <c r="K38" s="33" t="n">
        <v>17652</v>
      </c>
      <c r="L38" s="33" t="n">
        <v>0</v>
      </c>
      <c r="M38" s="33" t="n">
        <v>0</v>
      </c>
      <c r="N38" s="33" t="n">
        <v>75000</v>
      </c>
    </row>
    <row r="39" customFormat="false" ht="15" hidden="false" customHeight="false" outlineLevel="0" collapsed="false">
      <c r="A39" s="30" t="n">
        <v>12</v>
      </c>
      <c r="B39" s="10"/>
      <c r="C39" s="10"/>
      <c r="D39" s="36"/>
      <c r="E39" s="19" t="s">
        <v>129</v>
      </c>
      <c r="F39" s="33" t="n">
        <v>0</v>
      </c>
      <c r="G39" s="33" t="n">
        <v>0</v>
      </c>
      <c r="H39" s="33" t="n">
        <v>0</v>
      </c>
      <c r="I39" s="33" t="n">
        <v>13800</v>
      </c>
      <c r="J39" s="33" t="n">
        <v>41620</v>
      </c>
      <c r="K39" s="33" t="n">
        <v>42501.75</v>
      </c>
      <c r="L39" s="33" t="n">
        <v>56653</v>
      </c>
      <c r="M39" s="33" t="n">
        <v>0</v>
      </c>
      <c r="N39" s="33" t="n">
        <v>101393</v>
      </c>
    </row>
    <row r="40" customFormat="false" ht="15" hidden="false" customHeight="false" outlineLevel="0" collapsed="false">
      <c r="A40" s="30" t="n">
        <v>12</v>
      </c>
      <c r="B40" s="10"/>
      <c r="C40" s="10"/>
      <c r="D40" s="36"/>
      <c r="E40" s="19" t="s">
        <v>130</v>
      </c>
      <c r="F40" s="33" t="n">
        <v>0</v>
      </c>
      <c r="G40" s="33" t="n">
        <v>0</v>
      </c>
      <c r="H40" s="33" t="n">
        <v>1013</v>
      </c>
      <c r="I40" s="33" t="n">
        <v>11372</v>
      </c>
      <c r="J40" s="33" t="n">
        <v>14685</v>
      </c>
      <c r="K40" s="33" t="n">
        <v>17670</v>
      </c>
      <c r="L40" s="33" t="n">
        <v>1440</v>
      </c>
      <c r="M40" s="33" t="n">
        <v>0</v>
      </c>
      <c r="N40" s="33" t="n">
        <v>46180</v>
      </c>
    </row>
    <row r="41" customFormat="false" ht="23.85" hidden="false" customHeight="false" outlineLevel="0" collapsed="false">
      <c r="A41" s="30" t="n">
        <v>13</v>
      </c>
      <c r="B41" s="10" t="s">
        <v>147</v>
      </c>
      <c r="C41" s="10" t="s">
        <v>126</v>
      </c>
      <c r="D41" s="36" t="s">
        <v>127</v>
      </c>
      <c r="E41" s="19" t="s">
        <v>128</v>
      </c>
      <c r="F41" s="33" t="n">
        <v>0</v>
      </c>
      <c r="G41" s="33" t="n">
        <v>0</v>
      </c>
      <c r="H41" s="33" t="n">
        <v>7500</v>
      </c>
      <c r="I41" s="33" t="n">
        <v>68000</v>
      </c>
      <c r="J41" s="33" t="n">
        <v>12000</v>
      </c>
      <c r="K41" s="33" t="n">
        <v>0</v>
      </c>
      <c r="L41" s="33" t="n">
        <v>0</v>
      </c>
      <c r="M41" s="33" t="n">
        <v>0</v>
      </c>
      <c r="N41" s="33" t="n">
        <v>87500</v>
      </c>
    </row>
    <row r="42" customFormat="false" ht="15" hidden="false" customHeight="false" outlineLevel="0" collapsed="false">
      <c r="A42" s="30" t="n">
        <v>13</v>
      </c>
      <c r="B42" s="10"/>
      <c r="C42" s="10"/>
      <c r="D42" s="36"/>
      <c r="E42" s="19" t="s">
        <v>129</v>
      </c>
      <c r="F42" s="33" t="n">
        <v>0</v>
      </c>
      <c r="G42" s="33" t="n">
        <v>0</v>
      </c>
      <c r="H42" s="33" t="n">
        <v>7500</v>
      </c>
      <c r="I42" s="33" t="n">
        <v>32600</v>
      </c>
      <c r="J42" s="33" t="n">
        <v>20950</v>
      </c>
      <c r="K42" s="33" t="n">
        <v>96086</v>
      </c>
      <c r="L42" s="33" t="n">
        <v>77492.5</v>
      </c>
      <c r="M42" s="33" t="n">
        <v>0</v>
      </c>
      <c r="N42" s="33" t="n">
        <v>109170</v>
      </c>
    </row>
    <row r="43" customFormat="false" ht="15" hidden="false" customHeight="false" outlineLevel="0" collapsed="false">
      <c r="A43" s="30" t="n">
        <v>13</v>
      </c>
      <c r="B43" s="10"/>
      <c r="C43" s="10"/>
      <c r="D43" s="36"/>
      <c r="E43" s="19" t="s">
        <v>130</v>
      </c>
      <c r="F43" s="33" t="n">
        <v>0</v>
      </c>
      <c r="G43" s="33" t="n">
        <v>0</v>
      </c>
      <c r="H43" s="33" t="n">
        <v>0</v>
      </c>
      <c r="I43" s="33" t="n">
        <v>0</v>
      </c>
      <c r="J43" s="33" t="n">
        <v>0</v>
      </c>
      <c r="K43" s="33" t="n">
        <v>31677.5</v>
      </c>
      <c r="L43" s="33" t="n">
        <v>68037.5</v>
      </c>
      <c r="M43" s="33" t="n">
        <v>0</v>
      </c>
      <c r="N43" s="33" t="n">
        <v>99715</v>
      </c>
    </row>
    <row r="44" customFormat="false" ht="15" hidden="false" customHeight="false" outlineLevel="0" collapsed="false">
      <c r="A44" s="30" t="n">
        <v>14</v>
      </c>
      <c r="B44" s="10" t="s">
        <v>148</v>
      </c>
      <c r="C44" s="10" t="s">
        <v>136</v>
      </c>
      <c r="D44" s="36" t="s">
        <v>127</v>
      </c>
      <c r="E44" s="19" t="s">
        <v>128</v>
      </c>
      <c r="F44" s="33" t="n">
        <v>0</v>
      </c>
      <c r="G44" s="33" t="n">
        <v>0</v>
      </c>
      <c r="H44" s="33" t="n">
        <v>0</v>
      </c>
      <c r="I44" s="33" t="n">
        <v>0</v>
      </c>
      <c r="J44" s="33" t="n">
        <v>40000</v>
      </c>
      <c r="K44" s="33" t="n">
        <v>160000</v>
      </c>
      <c r="L44" s="33" t="n">
        <v>0</v>
      </c>
      <c r="M44" s="33" t="n">
        <v>0</v>
      </c>
      <c r="N44" s="33" t="n">
        <v>200000</v>
      </c>
    </row>
    <row r="45" customFormat="false" ht="15" hidden="false" customHeight="false" outlineLevel="0" collapsed="false">
      <c r="A45" s="30" t="n">
        <v>14</v>
      </c>
      <c r="B45" s="10"/>
      <c r="C45" s="10"/>
      <c r="D45" s="36"/>
      <c r="E45" s="19" t="s">
        <v>129</v>
      </c>
      <c r="F45" s="33" t="n">
        <v>0</v>
      </c>
      <c r="G45" s="33" t="n">
        <v>0</v>
      </c>
      <c r="H45" s="33" t="n">
        <v>0</v>
      </c>
      <c r="I45" s="33" t="n">
        <v>28200</v>
      </c>
      <c r="J45" s="33" t="n">
        <v>30887.5</v>
      </c>
      <c r="K45" s="33" t="n">
        <v>12060</v>
      </c>
      <c r="L45" s="33" t="n">
        <v>91087</v>
      </c>
      <c r="M45" s="33" t="n">
        <v>0</v>
      </c>
      <c r="N45" s="33" t="n">
        <v>102087</v>
      </c>
    </row>
    <row r="46" customFormat="false" ht="15" hidden="false" customHeight="false" outlineLevel="0" collapsed="false">
      <c r="A46" s="30" t="n">
        <v>14</v>
      </c>
      <c r="B46" s="10"/>
      <c r="C46" s="10"/>
      <c r="D46" s="36"/>
      <c r="E46" s="19" t="s">
        <v>130</v>
      </c>
      <c r="F46" s="33" t="n">
        <v>0</v>
      </c>
      <c r="G46" s="33" t="n">
        <v>0</v>
      </c>
      <c r="H46" s="33" t="n">
        <v>0</v>
      </c>
      <c r="I46" s="33" t="n">
        <v>5912.5</v>
      </c>
      <c r="J46" s="33" t="n">
        <v>1925</v>
      </c>
      <c r="K46" s="33" t="n">
        <v>3162.5</v>
      </c>
      <c r="L46" s="33" t="n">
        <v>2887.5</v>
      </c>
      <c r="M46" s="33" t="n">
        <v>0</v>
      </c>
      <c r="N46" s="33" t="n">
        <v>13887.5</v>
      </c>
    </row>
    <row r="47" customFormat="false" ht="15" hidden="false" customHeight="false" outlineLevel="0" collapsed="false">
      <c r="A47" s="30" t="n">
        <v>15</v>
      </c>
      <c r="B47" s="10" t="s">
        <v>149</v>
      </c>
      <c r="C47" s="10" t="s">
        <v>150</v>
      </c>
      <c r="D47" s="36" t="s">
        <v>93</v>
      </c>
      <c r="E47" s="19" t="s">
        <v>128</v>
      </c>
      <c r="F47" s="33" t="n">
        <v>0</v>
      </c>
      <c r="G47" s="33" t="n">
        <v>0</v>
      </c>
      <c r="H47" s="33" t="n">
        <v>867990</v>
      </c>
      <c r="I47" s="33" t="n">
        <v>4802982</v>
      </c>
      <c r="J47" s="33" t="n">
        <v>5855235</v>
      </c>
      <c r="K47" s="33" t="n">
        <v>11354034</v>
      </c>
      <c r="L47" s="33" t="n">
        <v>8714759</v>
      </c>
      <c r="M47" s="33" t="n">
        <v>0</v>
      </c>
      <c r="N47" s="33" t="n">
        <v>31595000</v>
      </c>
    </row>
    <row r="48" customFormat="false" ht="15" hidden="false" customHeight="false" outlineLevel="0" collapsed="false">
      <c r="A48" s="30" t="n">
        <v>15</v>
      </c>
      <c r="B48" s="10"/>
      <c r="C48" s="10"/>
      <c r="D48" s="36"/>
      <c r="E48" s="19" t="s">
        <v>129</v>
      </c>
      <c r="F48" s="33" t="n">
        <v>0</v>
      </c>
      <c r="G48" s="33" t="n">
        <v>0</v>
      </c>
      <c r="H48" s="33" t="n">
        <v>867990</v>
      </c>
      <c r="I48" s="33" t="n">
        <v>5657555.69</v>
      </c>
      <c r="J48" s="33" t="n">
        <v>10800000</v>
      </c>
      <c r="K48" s="33" t="n">
        <v>11867703.99</v>
      </c>
      <c r="L48" s="33" t="n">
        <v>7250463.69</v>
      </c>
      <c r="M48" s="33" t="n">
        <v>3853062.96</v>
      </c>
      <c r="N48" s="33" t="n">
        <v>31595000</v>
      </c>
    </row>
    <row r="49" customFormat="false" ht="15" hidden="false" customHeight="false" outlineLevel="0" collapsed="false">
      <c r="A49" s="30" t="n">
        <v>15</v>
      </c>
      <c r="B49" s="10"/>
      <c r="C49" s="10"/>
      <c r="D49" s="36"/>
      <c r="E49" s="19" t="s">
        <v>130</v>
      </c>
      <c r="F49" s="33" t="n">
        <v>0</v>
      </c>
      <c r="G49" s="33" t="n">
        <v>0</v>
      </c>
      <c r="H49" s="33" t="n">
        <v>203381</v>
      </c>
      <c r="I49" s="33" t="n">
        <v>2110278</v>
      </c>
      <c r="J49" s="33" t="n">
        <v>7606088.57</v>
      </c>
      <c r="K49" s="33" t="n">
        <v>10571725.78</v>
      </c>
      <c r="L49" s="33" t="n">
        <v>2332350.15</v>
      </c>
      <c r="M49" s="33" t="n">
        <v>0</v>
      </c>
      <c r="N49" s="33" t="n">
        <v>22823823.5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48"/>
    <col collapsed="false" customWidth="true" hidden="false" outlineLevel="0" max="3" min="3" style="0" width="6"/>
    <col collapsed="false" customWidth="true" hidden="false" outlineLevel="0" max="11" min="4" style="0" width="8"/>
    <col collapsed="false" customWidth="true" hidden="false" outlineLevel="0" max="14" min="12" style="0" width="16"/>
  </cols>
  <sheetData>
    <row r="1" customFormat="false" ht="15" hidden="false" customHeight="false" outlineLevel="0" collapsed="false">
      <c r="A1" s="28" t="s">
        <v>152</v>
      </c>
    </row>
    <row r="4" customFormat="false" ht="23.85" hidden="false" customHeight="false" outlineLevel="0" collapsed="false">
      <c r="A4" s="7" t="s">
        <v>79</v>
      </c>
      <c r="B4" s="7" t="s">
        <v>80</v>
      </c>
      <c r="C4" s="7" t="s">
        <v>123</v>
      </c>
      <c r="D4" s="7" t="n">
        <v>2020</v>
      </c>
      <c r="E4" s="7" t="n">
        <v>2021</v>
      </c>
      <c r="F4" s="7" t="n">
        <v>2022</v>
      </c>
      <c r="G4" s="7" t="n">
        <v>2023</v>
      </c>
      <c r="H4" s="7" t="n">
        <v>2024</v>
      </c>
      <c r="I4" s="7" t="n">
        <v>2025</v>
      </c>
      <c r="J4" s="7" t="n">
        <v>2026</v>
      </c>
      <c r="K4" s="7" t="n">
        <v>2027</v>
      </c>
      <c r="L4" s="7" t="s">
        <v>153</v>
      </c>
      <c r="M4" s="7" t="s">
        <v>154</v>
      </c>
      <c r="N4" s="7" t="s">
        <v>155</v>
      </c>
    </row>
    <row r="5" customFormat="false" ht="15" hidden="false" customHeight="false" outlineLevel="0" collapsed="false">
      <c r="A5" s="30" t="n">
        <v>7</v>
      </c>
      <c r="B5" s="10" t="s">
        <v>156</v>
      </c>
      <c r="C5" s="19" t="s">
        <v>128</v>
      </c>
      <c r="D5" s="35" t="n">
        <v>0</v>
      </c>
      <c r="E5" s="35" t="n">
        <v>0</v>
      </c>
      <c r="F5" s="35" t="n">
        <v>4</v>
      </c>
      <c r="G5" s="35" t="n">
        <v>7</v>
      </c>
      <c r="H5" s="35" t="n">
        <v>10</v>
      </c>
      <c r="I5" s="35" t="n">
        <v>14</v>
      </c>
      <c r="J5" s="35" t="n">
        <v>0</v>
      </c>
      <c r="K5" s="35" t="n">
        <v>0</v>
      </c>
      <c r="L5" s="35" t="n">
        <v>35</v>
      </c>
      <c r="M5" s="33" t="n">
        <v>4840000</v>
      </c>
      <c r="N5" s="33" t="n">
        <v>4840000</v>
      </c>
    </row>
    <row r="6" customFormat="false" ht="15" hidden="false" customHeight="false" outlineLevel="0" collapsed="false">
      <c r="A6" s="30" t="n">
        <v>7</v>
      </c>
      <c r="B6" s="10"/>
      <c r="C6" s="19" t="s">
        <v>129</v>
      </c>
      <c r="D6" s="35" t="n">
        <v>0</v>
      </c>
      <c r="E6" s="35" t="n">
        <v>0</v>
      </c>
      <c r="F6" s="35" t="n">
        <v>4</v>
      </c>
      <c r="G6" s="35" t="n">
        <v>11</v>
      </c>
      <c r="H6" s="35" t="n">
        <v>11</v>
      </c>
      <c r="I6" s="35" t="n">
        <v>1</v>
      </c>
      <c r="J6" s="35" t="n">
        <v>0</v>
      </c>
      <c r="K6" s="35" t="n">
        <v>0</v>
      </c>
      <c r="L6" s="35" t="n">
        <v>21</v>
      </c>
      <c r="M6" s="36"/>
      <c r="N6" s="36"/>
    </row>
    <row r="7" customFormat="false" ht="15" hidden="false" customHeight="false" outlineLevel="0" collapsed="false">
      <c r="A7" s="30" t="n">
        <v>7</v>
      </c>
      <c r="B7" s="10"/>
      <c r="C7" s="19" t="s">
        <v>130</v>
      </c>
      <c r="D7" s="35" t="n">
        <v>0</v>
      </c>
      <c r="E7" s="35" t="n">
        <v>0</v>
      </c>
      <c r="F7" s="35" t="n">
        <v>5</v>
      </c>
      <c r="G7" s="35" t="n">
        <v>11</v>
      </c>
      <c r="H7" s="35" t="n">
        <v>5</v>
      </c>
      <c r="I7" s="35" t="n">
        <v>0</v>
      </c>
      <c r="J7" s="35" t="n">
        <v>0</v>
      </c>
      <c r="K7" s="35" t="n">
        <v>0</v>
      </c>
      <c r="L7" s="30" t="n">
        <f aca="false">SUM(D7:K7)</f>
        <v>21</v>
      </c>
      <c r="M7" s="36"/>
      <c r="N7" s="36"/>
    </row>
    <row r="8" customFormat="false" ht="23.85" hidden="false" customHeight="false" outlineLevel="0" collapsed="false">
      <c r="A8" s="30" t="n">
        <v>7</v>
      </c>
      <c r="B8" s="10" t="s">
        <v>157</v>
      </c>
      <c r="C8" s="19" t="s">
        <v>128</v>
      </c>
      <c r="D8" s="35" t="n">
        <v>0</v>
      </c>
      <c r="E8" s="35" t="n">
        <v>0</v>
      </c>
      <c r="F8" s="35" t="n">
        <v>0</v>
      </c>
      <c r="G8" s="35" t="n">
        <v>4</v>
      </c>
      <c r="H8" s="35" t="n">
        <v>7</v>
      </c>
      <c r="I8" s="35" t="n">
        <v>10</v>
      </c>
      <c r="J8" s="35" t="n">
        <v>14</v>
      </c>
      <c r="K8" s="35" t="n">
        <v>0</v>
      </c>
      <c r="L8" s="35" t="n">
        <v>35</v>
      </c>
      <c r="M8" s="33" t="n">
        <v>51994531</v>
      </c>
      <c r="N8" s="33" t="n">
        <v>51994530</v>
      </c>
    </row>
    <row r="9" customFormat="false" ht="15" hidden="false" customHeight="false" outlineLevel="0" collapsed="false">
      <c r="A9" s="30" t="n">
        <v>7</v>
      </c>
      <c r="B9" s="10"/>
      <c r="C9" s="19" t="s">
        <v>129</v>
      </c>
      <c r="D9" s="35" t="n">
        <v>0</v>
      </c>
      <c r="E9" s="35" t="n">
        <v>0</v>
      </c>
      <c r="F9" s="35" t="n">
        <v>0</v>
      </c>
      <c r="G9" s="35" t="n">
        <v>2</v>
      </c>
      <c r="H9" s="35" t="n">
        <v>6</v>
      </c>
      <c r="I9" s="35" t="n">
        <v>2</v>
      </c>
      <c r="J9" s="35" t="n">
        <v>4</v>
      </c>
      <c r="K9" s="35" t="n">
        <v>6</v>
      </c>
      <c r="L9" s="35" t="n">
        <v>17</v>
      </c>
      <c r="M9" s="36"/>
      <c r="N9" s="36"/>
    </row>
    <row r="10" customFormat="false" ht="15" hidden="false" customHeight="false" outlineLevel="0" collapsed="false">
      <c r="A10" s="30" t="n">
        <v>7</v>
      </c>
      <c r="B10" s="10"/>
      <c r="C10" s="19" t="s">
        <v>130</v>
      </c>
      <c r="D10" s="35" t="n">
        <v>0</v>
      </c>
      <c r="E10" s="35" t="n">
        <v>0</v>
      </c>
      <c r="F10" s="35" t="n">
        <v>0</v>
      </c>
      <c r="G10" s="35" t="n">
        <v>1</v>
      </c>
      <c r="H10" s="35" t="n">
        <v>5</v>
      </c>
      <c r="I10" s="35" t="n">
        <v>1</v>
      </c>
      <c r="J10" s="35" t="n">
        <v>5</v>
      </c>
      <c r="K10" s="35" t="n">
        <v>0</v>
      </c>
      <c r="L10" s="30" t="n">
        <f aca="false">SUM(D10:K10)</f>
        <v>12</v>
      </c>
      <c r="M10" s="36"/>
      <c r="N10" s="36"/>
    </row>
    <row r="11" customFormat="false" ht="15" hidden="false" customHeight="false" outlineLevel="0" collapsed="false">
      <c r="A11" s="30" t="n">
        <v>15</v>
      </c>
      <c r="B11" s="10" t="s">
        <v>158</v>
      </c>
      <c r="C11" s="19" t="s">
        <v>128</v>
      </c>
      <c r="D11" s="35" t="n">
        <v>0</v>
      </c>
      <c r="E11" s="35" t="n">
        <v>0</v>
      </c>
      <c r="F11" s="35" t="n">
        <v>1</v>
      </c>
      <c r="G11" s="35" t="n">
        <v>0</v>
      </c>
      <c r="H11" s="35" t="n">
        <v>3</v>
      </c>
      <c r="I11" s="35" t="n">
        <v>4</v>
      </c>
      <c r="J11" s="35" t="n">
        <v>0</v>
      </c>
      <c r="K11" s="35" t="n">
        <v>0</v>
      </c>
      <c r="L11" s="35" t="n">
        <v>8</v>
      </c>
      <c r="M11" s="33" t="n">
        <v>2300000</v>
      </c>
      <c r="N11" s="33" t="n">
        <v>2300000</v>
      </c>
    </row>
    <row r="12" customFormat="false" ht="15" hidden="false" customHeight="false" outlineLevel="0" collapsed="false">
      <c r="A12" s="30" t="n">
        <v>15</v>
      </c>
      <c r="B12" s="10"/>
      <c r="C12" s="19" t="s">
        <v>129</v>
      </c>
      <c r="D12" s="35" t="n">
        <v>0</v>
      </c>
      <c r="E12" s="35" t="n">
        <v>0</v>
      </c>
      <c r="F12" s="35" t="n">
        <v>1</v>
      </c>
      <c r="G12" s="35" t="n">
        <v>4</v>
      </c>
      <c r="H12" s="35" t="n">
        <v>2</v>
      </c>
      <c r="I12" s="35" t="n">
        <v>2</v>
      </c>
      <c r="J12" s="35" t="n">
        <v>0</v>
      </c>
      <c r="K12" s="35" t="n">
        <v>0</v>
      </c>
      <c r="L12" s="35" t="n">
        <v>8</v>
      </c>
      <c r="M12" s="36"/>
      <c r="N12" s="36"/>
    </row>
    <row r="13" customFormat="false" ht="15" hidden="false" customHeight="false" outlineLevel="0" collapsed="false">
      <c r="A13" s="30" t="n">
        <v>15</v>
      </c>
      <c r="B13" s="10"/>
      <c r="C13" s="19" t="s">
        <v>130</v>
      </c>
      <c r="D13" s="35" t="n">
        <v>0</v>
      </c>
      <c r="E13" s="35" t="n">
        <v>0</v>
      </c>
      <c r="F13" s="35" t="n">
        <v>2</v>
      </c>
      <c r="G13" s="35" t="n">
        <v>4</v>
      </c>
      <c r="H13" s="35" t="n">
        <v>0</v>
      </c>
      <c r="I13" s="35" t="n">
        <v>2</v>
      </c>
      <c r="J13" s="35" t="n">
        <v>0</v>
      </c>
      <c r="K13" s="35" t="n">
        <v>0</v>
      </c>
      <c r="L13" s="30" t="n">
        <f aca="false">SUM(D13:K13)</f>
        <v>8</v>
      </c>
      <c r="M13" s="36"/>
      <c r="N13" s="36"/>
    </row>
    <row r="14" customFormat="false" ht="15" hidden="false" customHeight="false" outlineLevel="0" collapsed="false">
      <c r="A14" s="30" t="n">
        <v>15</v>
      </c>
      <c r="B14" s="10" t="s">
        <v>159</v>
      </c>
      <c r="C14" s="19" t="s">
        <v>128</v>
      </c>
      <c r="D14" s="35" t="n">
        <v>0</v>
      </c>
      <c r="E14" s="35" t="n">
        <v>0</v>
      </c>
      <c r="F14" s="35" t="n">
        <v>0</v>
      </c>
      <c r="G14" s="35" t="n">
        <v>0</v>
      </c>
      <c r="H14" s="35" t="n">
        <v>1</v>
      </c>
      <c r="I14" s="35" t="n">
        <v>3</v>
      </c>
      <c r="J14" s="35" t="n">
        <v>4</v>
      </c>
      <c r="K14" s="35" t="n">
        <v>0</v>
      </c>
      <c r="L14" s="35" t="n">
        <v>8</v>
      </c>
      <c r="M14" s="33" t="n">
        <v>28565000</v>
      </c>
      <c r="N14" s="33" t="n">
        <v>28565000</v>
      </c>
    </row>
    <row r="15" customFormat="false" ht="15" hidden="false" customHeight="false" outlineLevel="0" collapsed="false">
      <c r="A15" s="30" t="n">
        <v>15</v>
      </c>
      <c r="B15" s="10"/>
      <c r="C15" s="19" t="s">
        <v>129</v>
      </c>
      <c r="D15" s="35" t="n">
        <v>0</v>
      </c>
      <c r="E15" s="35" t="n">
        <v>0</v>
      </c>
      <c r="F15" s="35" t="n">
        <v>0</v>
      </c>
      <c r="G15" s="35" t="n">
        <v>0</v>
      </c>
      <c r="H15" s="35" t="n">
        <v>3</v>
      </c>
      <c r="I15" s="35" t="n">
        <v>2</v>
      </c>
      <c r="J15" s="35" t="n">
        <v>1</v>
      </c>
      <c r="K15" s="35" t="n">
        <v>4</v>
      </c>
      <c r="L15" s="35" t="n">
        <v>8</v>
      </c>
      <c r="M15" s="36"/>
      <c r="N15" s="36"/>
    </row>
    <row r="16" customFormat="false" ht="15" hidden="false" customHeight="false" outlineLevel="0" collapsed="false">
      <c r="A16" s="30" t="n">
        <v>15</v>
      </c>
      <c r="B16" s="10"/>
      <c r="C16" s="19" t="s">
        <v>130</v>
      </c>
      <c r="D16" s="35" t="n">
        <v>0</v>
      </c>
      <c r="E16" s="35" t="n">
        <v>0</v>
      </c>
      <c r="F16" s="35" t="n">
        <v>0</v>
      </c>
      <c r="G16" s="35" t="n">
        <v>0</v>
      </c>
      <c r="H16" s="35" t="n">
        <v>1</v>
      </c>
      <c r="I16" s="35" t="n">
        <v>2</v>
      </c>
      <c r="J16" s="35" t="n">
        <v>1</v>
      </c>
      <c r="K16" s="35" t="n">
        <v>0</v>
      </c>
      <c r="L16" s="30" t="n">
        <f aca="false">SUM(D16:K16)</f>
        <v>4</v>
      </c>
      <c r="M16" s="36"/>
      <c r="N16" s="36"/>
    </row>
    <row r="17" customFormat="false" ht="23.85" hidden="false" customHeight="false" outlineLevel="0" collapsed="false">
      <c r="A17" s="30" t="n">
        <v>15</v>
      </c>
      <c r="B17" s="10" t="s">
        <v>160</v>
      </c>
      <c r="C17" s="19" t="s">
        <v>128</v>
      </c>
      <c r="D17" s="35" t="n">
        <v>0</v>
      </c>
      <c r="E17" s="35" t="n">
        <v>0</v>
      </c>
      <c r="F17" s="35" t="n">
        <v>0</v>
      </c>
      <c r="G17" s="35" t="n">
        <v>2</v>
      </c>
      <c r="H17" s="35" t="n">
        <v>0</v>
      </c>
      <c r="I17" s="35" t="n">
        <v>0</v>
      </c>
      <c r="J17" s="35" t="n">
        <v>0</v>
      </c>
      <c r="K17" s="35" t="n">
        <v>0</v>
      </c>
      <c r="L17" s="35" t="n">
        <v>2</v>
      </c>
      <c r="M17" s="33" t="n">
        <v>730000</v>
      </c>
      <c r="N17" s="33" t="n">
        <v>730000</v>
      </c>
    </row>
    <row r="18" customFormat="false" ht="15" hidden="false" customHeight="false" outlineLevel="0" collapsed="false">
      <c r="A18" s="30" t="n">
        <v>15</v>
      </c>
      <c r="B18" s="10"/>
      <c r="C18" s="19" t="s">
        <v>129</v>
      </c>
      <c r="D18" s="35" t="n">
        <v>0</v>
      </c>
      <c r="E18" s="35" t="n">
        <v>0</v>
      </c>
      <c r="F18" s="35" t="n">
        <v>0</v>
      </c>
      <c r="G18" s="35" t="n">
        <v>2</v>
      </c>
      <c r="H18" s="35" t="n">
        <v>1</v>
      </c>
      <c r="I18" s="35" t="n">
        <v>0</v>
      </c>
      <c r="J18" s="35" t="n">
        <v>0</v>
      </c>
      <c r="K18" s="35" t="n">
        <v>0</v>
      </c>
      <c r="L18" s="35" t="n">
        <v>2</v>
      </c>
      <c r="M18" s="36"/>
      <c r="N18" s="36"/>
    </row>
    <row r="19" customFormat="false" ht="15" hidden="false" customHeight="false" outlineLevel="0" collapsed="false">
      <c r="A19" s="30" t="n">
        <v>15</v>
      </c>
      <c r="B19" s="10"/>
      <c r="C19" s="19" t="s">
        <v>130</v>
      </c>
      <c r="D19" s="35" t="n">
        <v>0</v>
      </c>
      <c r="E19" s="35" t="n">
        <v>0</v>
      </c>
      <c r="F19" s="35" t="n">
        <v>0</v>
      </c>
      <c r="G19" s="35" t="n">
        <v>1</v>
      </c>
      <c r="H19" s="35" t="n">
        <v>1</v>
      </c>
      <c r="I19" s="35" t="n">
        <v>0</v>
      </c>
      <c r="J19" s="35" t="n">
        <v>0</v>
      </c>
      <c r="K19" s="35" t="n">
        <v>0</v>
      </c>
      <c r="L19" s="30" t="n">
        <f aca="false">SUM(D19:K19)</f>
        <v>2</v>
      </c>
      <c r="M19" s="36"/>
      <c r="N19" s="36"/>
    </row>
    <row r="22" customFormat="false" ht="15" hidden="false" customHeight="false" outlineLevel="0" collapsed="false">
      <c r="B22" s="6" t="s">
        <v>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5"/>
    <col collapsed="false" customWidth="true" hidden="false" outlineLevel="0" max="3" min="3" style="0" width="10"/>
    <col collapsed="false" customWidth="true" hidden="false" outlineLevel="0" max="13" min="4" style="0" width="15"/>
  </cols>
  <sheetData>
    <row r="1" customFormat="false" ht="15" hidden="false" customHeight="false" outlineLevel="0" collapsed="false">
      <c r="A1" s="28" t="s">
        <v>162</v>
      </c>
    </row>
    <row r="3" customFormat="false" ht="15" hidden="false" customHeight="false" outlineLevel="0" collapsed="false">
      <c r="A3" s="28" t="s">
        <v>163</v>
      </c>
      <c r="C3" s="43" t="str">
        <f aca="false">Escenarios!C5</f>
        <v>Base PMR jun-2026</v>
      </c>
    </row>
    <row r="4" customFormat="false" ht="15" hidden="false" customHeight="false" outlineLevel="0" collapsed="false">
      <c r="A4" s="7" t="s">
        <v>74</v>
      </c>
      <c r="B4" s="7" t="s">
        <v>75</v>
      </c>
      <c r="C4" s="7" t="s">
        <v>164</v>
      </c>
      <c r="D4" s="7" t="s">
        <v>165</v>
      </c>
      <c r="E4" s="7" t="s">
        <v>166</v>
      </c>
      <c r="F4" s="7" t="s">
        <v>167</v>
      </c>
      <c r="G4" s="7" t="s">
        <v>168</v>
      </c>
      <c r="H4" s="7" t="s">
        <v>169</v>
      </c>
      <c r="I4" s="7" t="s">
        <v>170</v>
      </c>
      <c r="J4" s="7" t="s">
        <v>171</v>
      </c>
      <c r="K4" s="7" t="s">
        <v>172</v>
      </c>
      <c r="L4" s="7" t="s">
        <v>173</v>
      </c>
      <c r="M4" s="7" t="s">
        <v>174</v>
      </c>
    </row>
    <row r="5" customFormat="false" ht="15" hidden="false" customHeight="false" outlineLevel="0" collapsed="false">
      <c r="A5" s="30" t="n">
        <v>1</v>
      </c>
      <c r="B5" s="44" t="str">
        <f aca="false">Fisico!B5</f>
        <v>P1.1. Plataformas de datos policiales integradas e interoperables</v>
      </c>
      <c r="C5" s="44" t="str">
        <f aca="false">Fisico!D5</f>
        <v>No</v>
      </c>
      <c r="D5" s="45" t="n">
        <f aca="false">SUMPRODUCT((Financiero!$F$4:$M$4&lt;=Parametros!$C$6)*Financiero!$F$5:$M$5)</f>
        <v>758011</v>
      </c>
      <c r="E5" s="45" t="n">
        <f aca="false">SUMPRODUCT((Financiero!$F$4:$M$4&lt;Parametros!$C$6)*Financiero!$F$7:$M$7)+SUMPRODUCT((Financiero!$F$4:$M$4=Parametros!$C$6)*Financiero!$F$6:$M$6)</f>
        <v>224656.16</v>
      </c>
      <c r="F5" s="45" t="n">
        <f aca="false">SUMPRODUCT((Financiero!$F$4:$M$4&lt;=Parametros!$C$6)*Financiero!$F$7:$M$7)+0</f>
        <v>224656.16</v>
      </c>
      <c r="G5" s="46" t="n">
        <f aca="false">SUMPRODUCT((Fisico!$F$4:$M$4&lt;=Parametros!$C$6)*Fisico!$F$5:$M$5)</f>
        <v>1</v>
      </c>
      <c r="H5" s="46" t="n">
        <f aca="false">SUMPRODUCT((Fisico!$F$4:$M$4&lt;Parametros!$C$6)*Fisico!$F$7:$M$7)+SUMPRODUCT((Fisico!$F$4:$M$4=Parametros!$C$6)*Fisico!$F$6:$M$6)</f>
        <v>0</v>
      </c>
      <c r="I5" s="46" t="n">
        <f aca="false">SUMPRODUCT((Fisico!$F$4:$M$4&lt;=Parametros!$C$6)*Fisico!$F$7:$M$7)+0</f>
        <v>0</v>
      </c>
      <c r="J5" s="47" t="n">
        <f aca="false">IF(G5=0,"N/A",I5/G5)</f>
        <v>0</v>
      </c>
      <c r="K5" s="47" t="str">
        <f aca="false">IF(H5=0,"N/A",I5/H5)</f>
        <v>N/A</v>
      </c>
      <c r="L5" s="45" t="n">
        <f aca="false">IF(C5="Sí",SUMIF($A$25:$A$29,A5,$H$25:$H$29),IF(J5="N/A",F5,J5*D5))</f>
        <v>0</v>
      </c>
      <c r="M5" s="45" t="n">
        <f aca="false">IF(C5="Sí",SUMIF($A$25:$A$29,A5,$I$25:$I$29),IF(K5="N/A",F5,K5*E5))</f>
        <v>224656.16</v>
      </c>
    </row>
    <row r="6" customFormat="false" ht="15" hidden="false" customHeight="false" outlineLevel="0" collapsed="false">
      <c r="A6" s="30" t="n">
        <v>2</v>
      </c>
      <c r="B6" s="44" t="str">
        <f aca="false">Fisico!B8</f>
        <v>P1.2. Sistema de información delictual fortalecidos y en funcionamiento</v>
      </c>
      <c r="C6" s="44" t="str">
        <f aca="false">Fisico!D8</f>
        <v>No</v>
      </c>
      <c r="D6" s="45" t="n">
        <f aca="false">SUMPRODUCT((Financiero!$F$4:$M$4&lt;=Parametros!$C$6)*Financiero!$F$8:$M$8)</f>
        <v>3104457</v>
      </c>
      <c r="E6" s="45" t="n">
        <f aca="false">SUMPRODUCT((Financiero!$F$4:$M$4&lt;Parametros!$C$6)*Financiero!$F$10:$M$10)+SUMPRODUCT((Financiero!$F$4:$M$4=Parametros!$C$6)*Financiero!$F$9:$M$9)</f>
        <v>23360</v>
      </c>
      <c r="F6" s="45" t="n">
        <f aca="false">SUMPRODUCT((Financiero!$F$4:$M$4&lt;=Parametros!$C$6)*Financiero!$F$10:$M$10)+0</f>
        <v>23360</v>
      </c>
      <c r="G6" s="46" t="n">
        <f aca="false">SUMPRODUCT((Fisico!$F$4:$M$4&lt;=Parametros!$C$6)*Fisico!$F$8:$M$8)</f>
        <v>1</v>
      </c>
      <c r="H6" s="46" t="n">
        <f aca="false">SUMPRODUCT((Fisico!$F$4:$M$4&lt;Parametros!$C$6)*Fisico!$F$10:$M$10)+SUMPRODUCT((Fisico!$F$4:$M$4=Parametros!$C$6)*Fisico!$F$9:$M$9)</f>
        <v>0</v>
      </c>
      <c r="I6" s="46" t="n">
        <f aca="false">SUMPRODUCT((Fisico!$F$4:$M$4&lt;=Parametros!$C$6)*Fisico!$F$10:$M$10)+0</f>
        <v>0</v>
      </c>
      <c r="J6" s="47" t="n">
        <f aca="false">IF(G6=0,"N/A",I6/G6)</f>
        <v>0</v>
      </c>
      <c r="K6" s="47" t="str">
        <f aca="false">IF(H6=0,"N/A",I6/H6)</f>
        <v>N/A</v>
      </c>
      <c r="L6" s="45" t="n">
        <f aca="false">IF(C6="Sí",SUMIF($A$25:$A$29,A6,$H$25:$H$29),IF(J6="N/A",F6,J6*D6))</f>
        <v>0</v>
      </c>
      <c r="M6" s="45" t="n">
        <f aca="false">IF(C6="Sí",SUMIF($A$25:$A$29,A6,$I$25:$I$29),IF(K6="N/A",F6,K6*E6))</f>
        <v>23360</v>
      </c>
    </row>
    <row r="7" customFormat="false" ht="15" hidden="false" customHeight="false" outlineLevel="0" collapsed="false">
      <c r="A7" s="30" t="n">
        <v>3</v>
      </c>
      <c r="B7" s="44" t="str">
        <f aca="false">Fisico!B11</f>
        <v>P.1.3. Departamentos de la FP capacitados en análisis criminal y monitoreo de dinámicas delictivas</v>
      </c>
      <c r="C7" s="44" t="str">
        <f aca="false">Fisico!D11</f>
        <v>No</v>
      </c>
      <c r="D7" s="45" t="n">
        <f aca="false">SUMPRODUCT((Financiero!$F$4:$M$4&lt;=Parametros!$C$6)*Financiero!$F$11:$M$11)</f>
        <v>300000</v>
      </c>
      <c r="E7" s="45" t="n">
        <f aca="false">SUMPRODUCT((Financiero!$F$4:$M$4&lt;Parametros!$C$6)*Financiero!$F$13:$M$13)+SUMPRODUCT((Financiero!$F$4:$M$4=Parametros!$C$6)*Financiero!$F$12:$M$12)</f>
        <v>140489.6</v>
      </c>
      <c r="F7" s="45" t="n">
        <f aca="false">SUMPRODUCT((Financiero!$F$4:$M$4&lt;=Parametros!$C$6)*Financiero!$F$13:$M$13)+0</f>
        <v>140489.6</v>
      </c>
      <c r="G7" s="46" t="n">
        <f aca="false">SUMPRODUCT((Fisico!$F$4:$M$4&lt;=Parametros!$C$6)*Fisico!$F$11:$M$11)</f>
        <v>16</v>
      </c>
      <c r="H7" s="46" t="n">
        <f aca="false">SUMPRODUCT((Fisico!$F$4:$M$4&lt;Parametros!$C$6)*Fisico!$F$13:$M$13)+SUMPRODUCT((Fisico!$F$4:$M$4=Parametros!$C$6)*Fisico!$F$12:$M$12)</f>
        <v>29</v>
      </c>
      <c r="I7" s="46" t="n">
        <f aca="false">SUMPRODUCT((Fisico!$F$4:$M$4&lt;=Parametros!$C$6)*Fisico!$F$13:$M$13)+0</f>
        <v>29</v>
      </c>
      <c r="J7" s="47" t="n">
        <f aca="false">IF(G7=0,"N/A",I7/G7)</f>
        <v>1.8125</v>
      </c>
      <c r="K7" s="47" t="n">
        <f aca="false">IF(H7=0,"N/A",I7/H7)</f>
        <v>1</v>
      </c>
      <c r="L7" s="45" t="n">
        <f aca="false">IF(C7="Sí",SUMIF($A$25:$A$29,A7,$H$25:$H$29),IF(J7="N/A",F7,J7*D7))</f>
        <v>543750</v>
      </c>
      <c r="M7" s="45" t="n">
        <f aca="false">IF(C7="Sí",SUMIF($A$25:$A$29,A7,$I$25:$I$29),IF(K7="N/A",F7,K7*E7))</f>
        <v>140489.6</v>
      </c>
    </row>
    <row r="8" customFormat="false" ht="15" hidden="false" customHeight="false" outlineLevel="0" collapsed="false">
      <c r="A8" s="30" t="n">
        <v>4</v>
      </c>
      <c r="B8" s="44" t="str">
        <f aca="false">Fisico!B14</f>
        <v>P.1.4. Estrategias policiales basadas en evidencia diseñadas e implementadas</v>
      </c>
      <c r="C8" s="44" t="str">
        <f aca="false">Fisico!D14</f>
        <v>No</v>
      </c>
      <c r="D8" s="45" t="n">
        <f aca="false">SUMPRODUCT((Financiero!$F$4:$M$4&lt;=Parametros!$C$6)*Financiero!$F$14:$M$14)</f>
        <v>1603001</v>
      </c>
      <c r="E8" s="45" t="n">
        <f aca="false">SUMPRODUCT((Financiero!$F$4:$M$4&lt;Parametros!$C$6)*Financiero!$F$16:$M$16)+SUMPRODUCT((Financiero!$F$4:$M$4=Parametros!$C$6)*Financiero!$F$15:$M$15)</f>
        <v>1399764.24</v>
      </c>
      <c r="F8" s="45" t="n">
        <f aca="false">SUMPRODUCT((Financiero!$F$4:$M$4&lt;=Parametros!$C$6)*Financiero!$F$16:$M$16)+0</f>
        <v>835473.63</v>
      </c>
      <c r="G8" s="46" t="n">
        <f aca="false">SUMPRODUCT((Fisico!$F$4:$M$4&lt;=Parametros!$C$6)*Fisico!$F$14:$M$14)</f>
        <v>1</v>
      </c>
      <c r="H8" s="46" t="n">
        <f aca="false">SUMPRODUCT((Fisico!$F$4:$M$4&lt;Parametros!$C$6)*Fisico!$F$16:$M$16)+SUMPRODUCT((Fisico!$F$4:$M$4=Parametros!$C$6)*Fisico!$F$15:$M$15)</f>
        <v>1</v>
      </c>
      <c r="I8" s="46" t="n">
        <f aca="false">SUMPRODUCT((Fisico!$F$4:$M$4&lt;=Parametros!$C$6)*Fisico!$F$16:$M$16)+0</f>
        <v>0</v>
      </c>
      <c r="J8" s="47" t="n">
        <f aca="false">IF(G8=0,"N/A",I8/G8)</f>
        <v>0</v>
      </c>
      <c r="K8" s="47" t="n">
        <f aca="false">IF(H8=0,"N/A",I8/H8)</f>
        <v>0</v>
      </c>
      <c r="L8" s="45" t="n">
        <f aca="false">IF(C8="Sí",SUMIF($A$25:$A$29,A8,$H$25:$H$29),IF(J8="N/A",F8,J8*D8))</f>
        <v>0</v>
      </c>
      <c r="M8" s="45" t="n">
        <f aca="false">IF(C8="Sí",SUMIF($A$25:$A$29,A8,$I$25:$I$29),IF(K8="N/A",F8,K8*E8))</f>
        <v>0</v>
      </c>
    </row>
    <row r="9" customFormat="false" ht="15" hidden="false" customHeight="false" outlineLevel="0" collapsed="false">
      <c r="A9" s="30" t="n">
        <v>5</v>
      </c>
      <c r="B9" s="44" t="str">
        <f aca="false">Fisico!B17</f>
        <v>P.1.5. Evaluación de impacto de estrategias policiales basadas en evidencia diseñada e implementada</v>
      </c>
      <c r="C9" s="44" t="str">
        <f aca="false">Fisico!D17</f>
        <v>No</v>
      </c>
      <c r="D9" s="45" t="n">
        <f aca="false">SUMPRODUCT((Financiero!$F$4:$M$4&lt;=Parametros!$C$6)*Financiero!$F$17:$M$17)</f>
        <v>150000</v>
      </c>
      <c r="E9" s="45" t="n">
        <f aca="false">SUMPRODUCT((Financiero!$F$4:$M$4&lt;Parametros!$C$6)*Financiero!$F$19:$M$19)+SUMPRODUCT((Financiero!$F$4:$M$4=Parametros!$C$6)*Financiero!$F$18:$M$18)</f>
        <v>130000</v>
      </c>
      <c r="F9" s="45" t="n">
        <f aca="false">SUMPRODUCT((Financiero!$F$4:$M$4&lt;=Parametros!$C$6)*Financiero!$F$19:$M$19)+0</f>
        <v>97637.5</v>
      </c>
      <c r="G9" s="46" t="n">
        <f aca="false">SUMPRODUCT((Fisico!$F$4:$M$4&lt;=Parametros!$C$6)*Fisico!$F$17:$M$17)</f>
        <v>1</v>
      </c>
      <c r="H9" s="46" t="n">
        <f aca="false">SUMPRODUCT((Fisico!$F$4:$M$4&lt;Parametros!$C$6)*Fisico!$F$19:$M$19)+SUMPRODUCT((Fisico!$F$4:$M$4=Parametros!$C$6)*Fisico!$F$18:$M$18)</f>
        <v>1</v>
      </c>
      <c r="I9" s="46" t="n">
        <f aca="false">SUMPRODUCT((Fisico!$F$4:$M$4&lt;=Parametros!$C$6)*Fisico!$F$19:$M$19)+0</f>
        <v>0</v>
      </c>
      <c r="J9" s="47" t="n">
        <f aca="false">IF(G9=0,"N/A",I9/G9)</f>
        <v>0</v>
      </c>
      <c r="K9" s="47" t="n">
        <f aca="false">IF(H9=0,"N/A",I9/H9)</f>
        <v>0</v>
      </c>
      <c r="L9" s="45" t="n">
        <f aca="false">IF(C9="Sí",SUMIF($A$25:$A$29,A9,$H$25:$H$29),IF(J9="N/A",F9,J9*D9))</f>
        <v>0</v>
      </c>
      <c r="M9" s="45" t="n">
        <f aca="false">IF(C9="Sí",SUMIF($A$25:$A$29,A9,$I$25:$I$29),IF(K9="N/A",F9,K9*E9))</f>
        <v>0</v>
      </c>
    </row>
    <row r="10" customFormat="false" ht="15" hidden="false" customHeight="false" outlineLevel="0" collapsed="false">
      <c r="A10" s="30" t="n">
        <v>6</v>
      </c>
      <c r="B10" s="44" t="str">
        <f aca="false">Fisico!B20</f>
        <v>P.1.6. Sistema de procesamiento de quejas ciudadanas y procesos disciplinarios, fortalecido</v>
      </c>
      <c r="C10" s="44" t="str">
        <f aca="false">Fisico!D20</f>
        <v>No</v>
      </c>
      <c r="D10" s="45" t="n">
        <f aca="false">SUMPRODUCT((Financiero!$F$4:$M$4&lt;=Parametros!$C$6)*Financiero!$F$20:$M$20)</f>
        <v>250000</v>
      </c>
      <c r="E10" s="45" t="n">
        <f aca="false">SUMPRODUCT((Financiero!$F$4:$M$4&lt;Parametros!$C$6)*Financiero!$F$22:$M$22)+SUMPRODUCT((Financiero!$F$4:$M$4=Parametros!$C$6)*Financiero!$F$21:$M$21)</f>
        <v>365000</v>
      </c>
      <c r="F10" s="45" t="n">
        <f aca="false">SUMPRODUCT((Financiero!$F$4:$M$4&lt;=Parametros!$C$6)*Financiero!$F$22:$M$22)+0</f>
        <v>277246.95</v>
      </c>
      <c r="G10" s="46" t="n">
        <f aca="false">SUMPRODUCT((Fisico!$F$4:$M$4&lt;=Parametros!$C$6)*Fisico!$F$20:$M$20)</f>
        <v>1</v>
      </c>
      <c r="H10" s="46" t="n">
        <f aca="false">SUMPRODUCT((Fisico!$F$4:$M$4&lt;Parametros!$C$6)*Fisico!$F$22:$M$22)+SUMPRODUCT((Fisico!$F$4:$M$4=Parametros!$C$6)*Fisico!$F$21:$M$21)</f>
        <v>1</v>
      </c>
      <c r="I10" s="46" t="n">
        <f aca="false">SUMPRODUCT((Fisico!$F$4:$M$4&lt;=Parametros!$C$6)*Fisico!$F$22:$M$22)+0</f>
        <v>0</v>
      </c>
      <c r="J10" s="47" t="n">
        <f aca="false">IF(G10=0,"N/A",I10/G10)</f>
        <v>0</v>
      </c>
      <c r="K10" s="47" t="n">
        <f aca="false">IF(H10=0,"N/A",I10/H10)</f>
        <v>0</v>
      </c>
      <c r="L10" s="45" t="n">
        <f aca="false">IF(C10="Sí",SUMIF($A$25:$A$29,A10,$H$25:$H$29),IF(J10="N/A",F10,J10*D10))</f>
        <v>0</v>
      </c>
      <c r="M10" s="45" t="n">
        <f aca="false">IF(C10="Sí",SUMIF($A$25:$A$29,A10,$I$25:$I$29),IF(K10="N/A",F10,K10*E10))</f>
        <v>0</v>
      </c>
    </row>
    <row r="11" customFormat="false" ht="15" hidden="false" customHeight="false" outlineLevel="0" collapsed="false">
      <c r="A11" s="30" t="n">
        <v>7</v>
      </c>
      <c r="B11" s="44" t="str">
        <f aca="false">Fisico!B23</f>
        <v>P.1.7. Delegaciones diseñadas, construida, equipadas y operando bajo el enfoque de policía comunitaria</v>
      </c>
      <c r="C11" s="44" t="str">
        <f aca="false">Fisico!D23</f>
        <v>Sí</v>
      </c>
      <c r="D11" s="45" t="n">
        <f aca="false">SUMPRODUCT((Financiero!$F$4:$M$4&lt;=Parametros!$C$6)*Financiero!$F$23:$M$23)</f>
        <v>56834531</v>
      </c>
      <c r="E11" s="45" t="n">
        <f aca="false">SUMPRODUCT((Financiero!$F$4:$M$4&lt;Parametros!$C$6)*Financiero!$F$25:$M$25)+SUMPRODUCT((Financiero!$F$4:$M$4=Parametros!$C$6)*Financiero!$F$24:$M$24)</f>
        <v>50172908.21</v>
      </c>
      <c r="F11" s="45" t="n">
        <f aca="false">SUMPRODUCT((Financiero!$F$4:$M$4&lt;=Parametros!$C$6)*Financiero!$F$25:$M$25)+0</f>
        <v>46198416.25</v>
      </c>
      <c r="G11" s="46" t="n">
        <f aca="false">SUMPRODUCT((Fisico!$F$4:$M$4&lt;=Parametros!$C$6)*Fisico!$F$23:$M$23)</f>
        <v>35</v>
      </c>
      <c r="H11" s="46" t="n">
        <f aca="false">SUMPRODUCT((Fisico!$F$4:$M$4&lt;Parametros!$C$6)*Fisico!$F$25:$M$25)+SUMPRODUCT((Fisico!$F$4:$M$4=Parametros!$C$6)*Fisico!$F$24:$M$24)</f>
        <v>11</v>
      </c>
      <c r="I11" s="46" t="n">
        <f aca="false">SUMPRODUCT((Fisico!$F$4:$M$4&lt;=Parametros!$C$6)*Fisico!$F$25:$M$25)+0</f>
        <v>12</v>
      </c>
      <c r="J11" s="47" t="n">
        <f aca="false">IF(G11=0,"N/A",I11/G11)</f>
        <v>0.342857142857143</v>
      </c>
      <c r="K11" s="47" t="n">
        <f aca="false">IF(H11=0,"N/A",I11/H11)</f>
        <v>1.09090909090909</v>
      </c>
      <c r="L11" s="45" t="n">
        <f aca="false">IF(C11="Sí",SUMIF($A$25:$A$29,A11,$H$25:$H$29),IF(J11="N/A",F11,J11*D11))</f>
        <v>20730696.3428571</v>
      </c>
      <c r="M11" s="45" t="n">
        <f aca="false">IF(C11="Sí",SUMIF($A$25:$A$29,A11,$I$25:$I$29),IF(K11="N/A",F11,K11*E11))</f>
        <v>41542021.1764706</v>
      </c>
    </row>
    <row r="12" customFormat="false" ht="15" hidden="false" customHeight="false" outlineLevel="0" collapsed="false">
      <c r="A12" s="30" t="n">
        <v>8</v>
      </c>
      <c r="B12" s="44" t="str">
        <f aca="false">Fisico!B26</f>
        <v>Centro de Mando y Control Policial (CMCP) diseñado, construido, equipado y en funcionamiento</v>
      </c>
      <c r="C12" s="44" t="str">
        <f aca="false">Fisico!D26</f>
        <v>No</v>
      </c>
      <c r="D12" s="45" t="n">
        <f aca="false">SUMPRODUCT((Financiero!$F$4:$M$4&lt;=Parametros!$C$6)*Financiero!$F$26:$M$26)</f>
        <v>0</v>
      </c>
      <c r="E12" s="45" t="n">
        <f aca="false">SUMPRODUCT((Financiero!$F$4:$M$4&lt;Parametros!$C$6)*Financiero!$F$28:$M$28)+SUMPRODUCT((Financiero!$F$4:$M$4=Parametros!$C$6)*Financiero!$F$27:$M$27)</f>
        <v>3162756.25</v>
      </c>
      <c r="F12" s="45" t="n">
        <f aca="false">SUMPRODUCT((Financiero!$F$4:$M$4&lt;=Parametros!$C$6)*Financiero!$F$28:$M$28)+0</f>
        <v>2499243.73</v>
      </c>
      <c r="G12" s="46" t="n">
        <f aca="false">SUMPRODUCT((Fisico!$F$4:$M$4&lt;=Parametros!$C$6)*Fisico!$F$26:$M$26)</f>
        <v>0</v>
      </c>
      <c r="H12" s="46" t="n">
        <f aca="false">SUMPRODUCT((Fisico!$F$4:$M$4&lt;Parametros!$C$6)*Fisico!$F$28:$M$28)+SUMPRODUCT((Fisico!$F$4:$M$4=Parametros!$C$6)*Fisico!$F$27:$M$27)</f>
        <v>0</v>
      </c>
      <c r="I12" s="46" t="n">
        <f aca="false">SUMPRODUCT((Fisico!$F$4:$M$4&lt;=Parametros!$C$6)*Fisico!$F$28:$M$28)+0</f>
        <v>0</v>
      </c>
      <c r="J12" s="47" t="str">
        <f aca="false">IF(G12=0,"N/A",I12/G12)</f>
        <v>N/A</v>
      </c>
      <c r="K12" s="47" t="str">
        <f aca="false">IF(H12=0,"N/A",I12/H12)</f>
        <v>N/A</v>
      </c>
      <c r="L12" s="45" t="n">
        <f aca="false">IF(C12="Sí",SUMIF($A$25:$A$29,A12,$H$25:$H$29),IF(J12="N/A",F12,J12*D12))</f>
        <v>2499243.73</v>
      </c>
      <c r="M12" s="45" t="n">
        <f aca="false">IF(C12="Sí",SUMIF($A$25:$A$29,A12,$I$25:$I$29),IF(K12="N/A",F12,K12*E12))</f>
        <v>2499243.73</v>
      </c>
    </row>
    <row r="13" customFormat="false" ht="15" hidden="false" customHeight="false" outlineLevel="0" collapsed="false">
      <c r="A13" s="30" t="n">
        <v>9</v>
      </c>
      <c r="B13" s="44" t="str">
        <f aca="false">Fisico!B29</f>
        <v>P.2.1. Modelo de atención de los CCP actualizado, fortalecido, y en funcionamiento en los CCPs de la red</v>
      </c>
      <c r="C13" s="44" t="str">
        <f aca="false">Fisico!D29</f>
        <v>No</v>
      </c>
      <c r="D13" s="45" t="n">
        <f aca="false">SUMPRODUCT((Financiero!$F$4:$M$4&lt;=Parametros!$C$6)*Financiero!$F$29:$M$29)</f>
        <v>300000</v>
      </c>
      <c r="E13" s="45" t="n">
        <f aca="false">SUMPRODUCT((Financiero!$F$4:$M$4&lt;Parametros!$C$6)*Financiero!$F$31:$M$31)+SUMPRODUCT((Financiero!$F$4:$M$4=Parametros!$C$6)*Financiero!$F$30:$M$30)</f>
        <v>353000</v>
      </c>
      <c r="F13" s="45" t="n">
        <f aca="false">SUMPRODUCT((Financiero!$F$4:$M$4&lt;=Parametros!$C$6)*Financiero!$F$31:$M$31)+0</f>
        <v>179915.1</v>
      </c>
      <c r="G13" s="46" t="n">
        <f aca="false">SUMPRODUCT((Fisico!$F$4:$M$4&lt;=Parametros!$C$6)*Fisico!$F$29:$M$29)</f>
        <v>1</v>
      </c>
      <c r="H13" s="46" t="n">
        <f aca="false">SUMPRODUCT((Fisico!$F$4:$M$4&lt;Parametros!$C$6)*Fisico!$F$31:$M$31)+SUMPRODUCT((Fisico!$F$4:$M$4=Parametros!$C$6)*Fisico!$F$30:$M$30)</f>
        <v>1</v>
      </c>
      <c r="I13" s="46" t="n">
        <f aca="false">SUMPRODUCT((Fisico!$F$4:$M$4&lt;=Parametros!$C$6)*Fisico!$F$31:$M$31)+0</f>
        <v>0</v>
      </c>
      <c r="J13" s="47" t="n">
        <f aca="false">IF(G13=0,"N/A",I13/G13)</f>
        <v>0</v>
      </c>
      <c r="K13" s="47" t="n">
        <f aca="false">IF(H13=0,"N/A",I13/H13)</f>
        <v>0</v>
      </c>
      <c r="L13" s="45" t="n">
        <f aca="false">IF(C13="Sí",SUMIF($A$25:$A$29,A13,$H$25:$H$29),IF(J13="N/A",F13,J13*D13))</f>
        <v>0</v>
      </c>
      <c r="M13" s="45" t="n">
        <f aca="false">IF(C13="Sí",SUMIF($A$25:$A$29,A13,$I$25:$I$29),IF(K13="N/A",F13,K13*E13))</f>
        <v>0</v>
      </c>
    </row>
    <row r="14" customFormat="false" ht="15" hidden="false" customHeight="false" outlineLevel="0" collapsed="false">
      <c r="A14" s="30" t="n">
        <v>10</v>
      </c>
      <c r="B14" s="44" t="str">
        <f aca="false">Fisico!B32</f>
        <v>P.2.2. Modelo de gestión de los CCP homologado, fortalecido y en funcionamiento en los CCPs de la red</v>
      </c>
      <c r="C14" s="44" t="str">
        <f aca="false">Fisico!D32</f>
        <v>No</v>
      </c>
      <c r="D14" s="45" t="n">
        <f aca="false">SUMPRODUCT((Financiero!$F$4:$M$4&lt;=Parametros!$C$6)*Financiero!$F$32:$M$32)</f>
        <v>145000</v>
      </c>
      <c r="E14" s="45" t="n">
        <f aca="false">SUMPRODUCT((Financiero!$F$4:$M$4&lt;Parametros!$C$6)*Financiero!$F$34:$M$34)+SUMPRODUCT((Financiero!$F$4:$M$4=Parametros!$C$6)*Financiero!$F$33:$M$33)</f>
        <v>141855</v>
      </c>
      <c r="F14" s="45" t="n">
        <f aca="false">SUMPRODUCT((Financiero!$F$4:$M$4&lt;=Parametros!$C$6)*Financiero!$F$34:$M$34)+0</f>
        <v>0</v>
      </c>
      <c r="G14" s="46" t="n">
        <f aca="false">SUMPRODUCT((Fisico!$F$4:$M$4&lt;=Parametros!$C$6)*Fisico!$F$32:$M$32)</f>
        <v>1</v>
      </c>
      <c r="H14" s="46" t="n">
        <f aca="false">SUMPRODUCT((Fisico!$F$4:$M$4&lt;Parametros!$C$6)*Fisico!$F$34:$M$34)+SUMPRODUCT((Fisico!$F$4:$M$4=Parametros!$C$6)*Fisico!$F$33:$M$33)</f>
        <v>1</v>
      </c>
      <c r="I14" s="46" t="n">
        <f aca="false">SUMPRODUCT((Fisico!$F$4:$M$4&lt;=Parametros!$C$6)*Fisico!$F$34:$M$34)+0</f>
        <v>0</v>
      </c>
      <c r="J14" s="47" t="n">
        <f aca="false">IF(G14=0,"N/A",I14/G14)</f>
        <v>0</v>
      </c>
      <c r="K14" s="47" t="n">
        <f aca="false">IF(H14=0,"N/A",I14/H14)</f>
        <v>0</v>
      </c>
      <c r="L14" s="45" t="n">
        <f aca="false">IF(C14="Sí",SUMIF($A$25:$A$29,A14,$H$25:$H$29),IF(J14="N/A",F14,J14*D14))</f>
        <v>0</v>
      </c>
      <c r="M14" s="45" t="n">
        <f aca="false">IF(C14="Sí",SUMIF($A$25:$A$29,A14,$I$25:$I$29),IF(K14="N/A",F14,K14*E14))</f>
        <v>0</v>
      </c>
    </row>
    <row r="15" customFormat="false" ht="15" hidden="false" customHeight="false" outlineLevel="0" collapsed="false">
      <c r="A15" s="30" t="n">
        <v>11</v>
      </c>
      <c r="B15" s="44" t="str">
        <f aca="false">Fisico!B35</f>
        <v>P.2.3. Municipalidades y grupos de sociedad civil capacitados y utilizando las nuevas competencias adquiridas en prevención de violencia</v>
      </c>
      <c r="C15" s="44" t="str">
        <f aca="false">Fisico!D35</f>
        <v>No</v>
      </c>
      <c r="D15" s="45" t="n">
        <f aca="false">SUMPRODUCT((Financiero!$F$4:$M$4&lt;=Parametros!$C$6)*Financiero!$F$35:$M$35)</f>
        <v>97500</v>
      </c>
      <c r="E15" s="45" t="n">
        <f aca="false">SUMPRODUCT((Financiero!$F$4:$M$4&lt;Parametros!$C$6)*Financiero!$F$37:$M$37)+SUMPRODUCT((Financiero!$F$4:$M$4=Parametros!$C$6)*Financiero!$F$36:$M$36)</f>
        <v>97495</v>
      </c>
      <c r="F15" s="45" t="n">
        <f aca="false">SUMPRODUCT((Financiero!$F$4:$M$4&lt;=Parametros!$C$6)*Financiero!$F$37:$M$37)+0</f>
        <v>81046.84</v>
      </c>
      <c r="G15" s="46" t="n">
        <f aca="false">SUMPRODUCT((Fisico!$F$4:$M$4&lt;=Parametros!$C$6)*Fisico!$F$35:$M$35)</f>
        <v>15</v>
      </c>
      <c r="H15" s="46" t="n">
        <f aca="false">SUMPRODUCT((Fisico!$F$4:$M$4&lt;Parametros!$C$6)*Fisico!$F$37:$M$37)+SUMPRODUCT((Fisico!$F$4:$M$4=Parametros!$C$6)*Fisico!$F$36:$M$36)</f>
        <v>15</v>
      </c>
      <c r="I15" s="46" t="n">
        <f aca="false">SUMPRODUCT((Fisico!$F$4:$M$4&lt;=Parametros!$C$6)*Fisico!$F$37:$M$37)+0</f>
        <v>15</v>
      </c>
      <c r="J15" s="47" t="n">
        <f aca="false">IF(G15=0,"N/A",I15/G15)</f>
        <v>1</v>
      </c>
      <c r="K15" s="47" t="n">
        <f aca="false">IF(H15=0,"N/A",I15/H15)</f>
        <v>1</v>
      </c>
      <c r="L15" s="45" t="n">
        <f aca="false">IF(C15="Sí",SUMIF($A$25:$A$29,A15,$H$25:$H$29),IF(J15="N/A",F15,J15*D15))</f>
        <v>97500</v>
      </c>
      <c r="M15" s="45" t="n">
        <f aca="false">IF(C15="Sí",SUMIF($A$25:$A$29,A15,$I$25:$I$29),IF(K15="N/A",F15,K15*E15))</f>
        <v>97495</v>
      </c>
    </row>
    <row r="16" customFormat="false" ht="15" hidden="false" customHeight="false" outlineLevel="0" collapsed="false">
      <c r="A16" s="30" t="n">
        <v>12</v>
      </c>
      <c r="B16" s="44" t="str">
        <f aca="false">Fisico!B38</f>
        <v>P.2.4. Estrategia de comunicación social de los CCP, diseñada e implementada</v>
      </c>
      <c r="C16" s="44" t="str">
        <f aca="false">Fisico!D38</f>
        <v>No</v>
      </c>
      <c r="D16" s="45" t="n">
        <f aca="false">SUMPRODUCT((Financiero!$F$4:$M$4&lt;=Parametros!$C$6)*Financiero!$F$38:$M$38)</f>
        <v>75000</v>
      </c>
      <c r="E16" s="45" t="n">
        <f aca="false">SUMPRODUCT((Financiero!$F$4:$M$4&lt;Parametros!$C$6)*Financiero!$F$40:$M$40)+SUMPRODUCT((Financiero!$F$4:$M$4=Parametros!$C$6)*Financiero!$F$39:$M$39)</f>
        <v>101393</v>
      </c>
      <c r="F16" s="45" t="n">
        <f aca="false">SUMPRODUCT((Financiero!$F$4:$M$4&lt;=Parametros!$C$6)*Financiero!$F$40:$M$40)+0</f>
        <v>46180</v>
      </c>
      <c r="G16" s="46" t="n">
        <f aca="false">SUMPRODUCT((Fisico!$F$4:$M$4&lt;=Parametros!$C$6)*Fisico!$F$38:$M$38)</f>
        <v>1</v>
      </c>
      <c r="H16" s="46" t="n">
        <f aca="false">SUMPRODUCT((Fisico!$F$4:$M$4&lt;Parametros!$C$6)*Fisico!$F$40:$M$40)+SUMPRODUCT((Fisico!$F$4:$M$4=Parametros!$C$6)*Fisico!$F$39:$M$39)</f>
        <v>1</v>
      </c>
      <c r="I16" s="46" t="n">
        <f aca="false">SUMPRODUCT((Fisico!$F$4:$M$4&lt;=Parametros!$C$6)*Fisico!$F$40:$M$40)+0</f>
        <v>1</v>
      </c>
      <c r="J16" s="47" t="n">
        <f aca="false">IF(G16=0,"N/A",I16/G16)</f>
        <v>1</v>
      </c>
      <c r="K16" s="47" t="n">
        <f aca="false">IF(H16=0,"N/A",I16/H16)</f>
        <v>1</v>
      </c>
      <c r="L16" s="45" t="n">
        <f aca="false">IF(C16="Sí",SUMIF($A$25:$A$29,A16,$H$25:$H$29),IF(J16="N/A",F16,J16*D16))</f>
        <v>75000</v>
      </c>
      <c r="M16" s="45" t="n">
        <f aca="false">IF(C16="Sí",SUMIF($A$25:$A$29,A16,$I$25:$I$29),IF(K16="N/A",F16,K16*E16))</f>
        <v>101393</v>
      </c>
    </row>
    <row r="17" customFormat="false" ht="15" hidden="false" customHeight="false" outlineLevel="0" collapsed="false">
      <c r="A17" s="30" t="n">
        <v>13</v>
      </c>
      <c r="B17" s="44" t="str">
        <f aca="false">Fisico!B41</f>
        <v>P.2.5. Sistema de información integrado de los CCP, desarrollado e implementado</v>
      </c>
      <c r="C17" s="44" t="str">
        <f aca="false">Fisico!D41</f>
        <v>No</v>
      </c>
      <c r="D17" s="45" t="n">
        <f aca="false">SUMPRODUCT((Financiero!$F$4:$M$4&lt;=Parametros!$C$6)*Financiero!$F$41:$M$41)</f>
        <v>87500</v>
      </c>
      <c r="E17" s="45" t="n">
        <f aca="false">SUMPRODUCT((Financiero!$F$4:$M$4&lt;Parametros!$C$6)*Financiero!$F$43:$M$43)+SUMPRODUCT((Financiero!$F$4:$M$4=Parametros!$C$6)*Financiero!$F$42:$M$42)</f>
        <v>109170</v>
      </c>
      <c r="F17" s="45" t="n">
        <f aca="false">SUMPRODUCT((Financiero!$F$4:$M$4&lt;=Parametros!$C$6)*Financiero!$F$43:$M$43)+0</f>
        <v>99715</v>
      </c>
      <c r="G17" s="46" t="n">
        <f aca="false">SUMPRODUCT((Fisico!$F$4:$M$4&lt;=Parametros!$C$6)*Fisico!$F$41:$M$41)</f>
        <v>1</v>
      </c>
      <c r="H17" s="46" t="n">
        <f aca="false">SUMPRODUCT((Fisico!$F$4:$M$4&lt;Parametros!$C$6)*Fisico!$F$43:$M$43)+SUMPRODUCT((Fisico!$F$4:$M$4=Parametros!$C$6)*Fisico!$F$42:$M$42)</f>
        <v>1</v>
      </c>
      <c r="I17" s="46" t="n">
        <f aca="false">SUMPRODUCT((Fisico!$F$4:$M$4&lt;=Parametros!$C$6)*Fisico!$F$43:$M$43)+0</f>
        <v>0</v>
      </c>
      <c r="J17" s="47" t="n">
        <f aca="false">IF(G17=0,"N/A",I17/G17)</f>
        <v>0</v>
      </c>
      <c r="K17" s="47" t="n">
        <f aca="false">IF(H17=0,"N/A",I17/H17)</f>
        <v>0</v>
      </c>
      <c r="L17" s="45" t="n">
        <f aca="false">IF(C17="Sí",SUMIF($A$25:$A$29,A17,$H$25:$H$29),IF(J17="N/A",F17,J17*D17))</f>
        <v>0</v>
      </c>
      <c r="M17" s="45" t="n">
        <f aca="false">IF(C17="Sí",SUMIF($A$25:$A$29,A17,$I$25:$I$29),IF(K17="N/A",F17,K17*E17))</f>
        <v>0</v>
      </c>
    </row>
    <row r="18" customFormat="false" ht="15" hidden="false" customHeight="false" outlineLevel="0" collapsed="false">
      <c r="A18" s="30" t="n">
        <v>14</v>
      </c>
      <c r="B18" s="44" t="str">
        <f aca="false">Fisico!B44</f>
        <v>P.2.6. Evaluación de impacto de los CCP diseñada e implementada</v>
      </c>
      <c r="C18" s="44" t="str">
        <f aca="false">Fisico!D44</f>
        <v>No</v>
      </c>
      <c r="D18" s="45" t="n">
        <f aca="false">SUMPRODUCT((Financiero!$F$4:$M$4&lt;=Parametros!$C$6)*Financiero!$F$44:$M$44)</f>
        <v>200000</v>
      </c>
      <c r="E18" s="45" t="n">
        <f aca="false">SUMPRODUCT((Financiero!$F$4:$M$4&lt;Parametros!$C$6)*Financiero!$F$46:$M$46)+SUMPRODUCT((Financiero!$F$4:$M$4=Parametros!$C$6)*Financiero!$F$45:$M$45)</f>
        <v>102087</v>
      </c>
      <c r="F18" s="45" t="n">
        <f aca="false">SUMPRODUCT((Financiero!$F$4:$M$4&lt;=Parametros!$C$6)*Financiero!$F$46:$M$46)+0</f>
        <v>13887.5</v>
      </c>
      <c r="G18" s="46" t="n">
        <f aca="false">SUMPRODUCT((Fisico!$F$4:$M$4&lt;=Parametros!$C$6)*Fisico!$F$44:$M$44)</f>
        <v>1</v>
      </c>
      <c r="H18" s="46" t="n">
        <f aca="false">SUMPRODUCT((Fisico!$F$4:$M$4&lt;Parametros!$C$6)*Fisico!$F$46:$M$46)+SUMPRODUCT((Fisico!$F$4:$M$4=Parametros!$C$6)*Fisico!$F$45:$M$45)</f>
        <v>1</v>
      </c>
      <c r="I18" s="46" t="n">
        <f aca="false">SUMPRODUCT((Fisico!$F$4:$M$4&lt;=Parametros!$C$6)*Fisico!$F$46:$M$46)+0</f>
        <v>0</v>
      </c>
      <c r="J18" s="47" t="n">
        <f aca="false">IF(G18=0,"N/A",I18/G18)</f>
        <v>0</v>
      </c>
      <c r="K18" s="47" t="n">
        <f aca="false">IF(H18=0,"N/A",I18/H18)</f>
        <v>0</v>
      </c>
      <c r="L18" s="45" t="n">
        <f aca="false">IF(C18="Sí",SUMIF($A$25:$A$29,A18,$H$25:$H$29),IF(J18="N/A",F18,J18*D18))</f>
        <v>0</v>
      </c>
      <c r="M18" s="45" t="n">
        <f aca="false">IF(C18="Sí",SUMIF($A$25:$A$29,A18,$I$25:$I$29),IF(K18="N/A",F18,K18*E18))</f>
        <v>0</v>
      </c>
    </row>
    <row r="19" customFormat="false" ht="15" hidden="false" customHeight="false" outlineLevel="0" collapsed="false">
      <c r="A19" s="30" t="n">
        <v>15</v>
      </c>
      <c r="B19" s="44" t="str">
        <f aca="false">Fisico!B47</f>
        <v>P.2.7. CCP diseñados, construidos, equipados y en funcionamiento</v>
      </c>
      <c r="C19" s="44" t="str">
        <f aca="false">Fisico!D47</f>
        <v>Sí</v>
      </c>
      <c r="D19" s="45" t="n">
        <f aca="false">SUMPRODUCT((Financiero!$F$4:$M$4&lt;=Parametros!$C$6)*Financiero!$F$47:$M$47)</f>
        <v>31595000</v>
      </c>
      <c r="E19" s="45" t="n">
        <f aca="false">SUMPRODUCT((Financiero!$F$4:$M$4&lt;Parametros!$C$6)*Financiero!$F$49:$M$49)+SUMPRODUCT((Financiero!$F$4:$M$4=Parametros!$C$6)*Financiero!$F$48:$M$48)</f>
        <v>27741937.04</v>
      </c>
      <c r="F19" s="45" t="n">
        <f aca="false">SUMPRODUCT((Financiero!$F$4:$M$4&lt;=Parametros!$C$6)*Financiero!$F$49:$M$49)+0</f>
        <v>22823823.5</v>
      </c>
      <c r="G19" s="46" t="n">
        <f aca="false">SUMPRODUCT((Fisico!$F$4:$M$4&lt;=Parametros!$C$6)*Fisico!$F$47:$M$47)</f>
        <v>8</v>
      </c>
      <c r="H19" s="46" t="n">
        <f aca="false">SUMPRODUCT((Fisico!$F$4:$M$4&lt;Parametros!$C$6)*Fisico!$F$49:$M$49)+SUMPRODUCT((Fisico!$F$4:$M$4=Parametros!$C$6)*Fisico!$F$48:$M$48)</f>
        <v>4</v>
      </c>
      <c r="I19" s="46" t="n">
        <f aca="false">SUMPRODUCT((Fisico!$F$4:$M$4&lt;=Parametros!$C$6)*Fisico!$F$49:$M$49)+0</f>
        <v>4</v>
      </c>
      <c r="J19" s="47" t="n">
        <f aca="false">IF(G19=0,"N/A",I19/G19)</f>
        <v>0.5</v>
      </c>
      <c r="K19" s="47" t="n">
        <f aca="false">IF(H19=0,"N/A",I19/H19)</f>
        <v>1</v>
      </c>
      <c r="L19" s="45" t="n">
        <f aca="false">IF(C19="Sí",SUMIF($A$25:$A$29,A19,$H$25:$H$29),IF(J19="N/A",F19,J19*D19))</f>
        <v>17312500</v>
      </c>
      <c r="M19" s="45" t="n">
        <f aca="false">IF(C19="Sí",SUMIF($A$25:$A$29,A19,$I$25:$I$29),IF(K19="N/A",F19,K19*E19))</f>
        <v>17312500</v>
      </c>
    </row>
    <row r="20" customFormat="false" ht="15" hidden="false" customHeight="false" outlineLevel="0" collapsed="false">
      <c r="B20" s="19" t="s">
        <v>175</v>
      </c>
      <c r="D20" s="48" t="n">
        <f aca="false">IF(SUM(D5:D19)=0,F20,SUM(D5:D19))</f>
        <v>95500000</v>
      </c>
      <c r="E20" s="48" t="n">
        <f aca="false">IF(SUM(E5:E19)=0,F20,SUM(E5:E19))</f>
        <v>84265871.5</v>
      </c>
      <c r="F20" s="48" t="n">
        <f aca="false">SUM(F5:F19)</f>
        <v>73541091.76</v>
      </c>
      <c r="L20" s="48" t="n">
        <f aca="false">IF(SUM(D5:D19)=0,F20,SUM(L5:L19))</f>
        <v>41258690.0728571</v>
      </c>
      <c r="M20" s="48" t="n">
        <f aca="false">IF(SUM(E5:E19)=0,F20,SUM(M5:M19))</f>
        <v>61941158.6664706</v>
      </c>
    </row>
    <row r="24" customFormat="false" ht="35.05" hidden="false" customHeight="false" outlineLevel="0" collapsed="false">
      <c r="A24" s="7" t="s">
        <v>79</v>
      </c>
      <c r="B24" s="7" t="s">
        <v>80</v>
      </c>
      <c r="C24" s="7" t="s">
        <v>176</v>
      </c>
      <c r="D24" s="7" t="s">
        <v>177</v>
      </c>
      <c r="E24" s="7" t="s">
        <v>178</v>
      </c>
      <c r="F24" s="7" t="s">
        <v>179</v>
      </c>
      <c r="G24" s="7" t="s">
        <v>180</v>
      </c>
      <c r="H24" s="7" t="s">
        <v>181</v>
      </c>
      <c r="I24" s="7" t="s">
        <v>182</v>
      </c>
    </row>
    <row r="25" customFormat="false" ht="15" hidden="false" customHeight="false" outlineLevel="0" collapsed="false">
      <c r="A25" s="34" t="n">
        <f aca="false">Hitos!A5</f>
        <v>7</v>
      </c>
      <c r="B25" s="44" t="str">
        <f aca="false">Hitos!B5</f>
        <v>Delegaciones Policiales diseñadas</v>
      </c>
      <c r="C25" s="30" t="n">
        <f aca="false">SUMPRODUCT((Hitos!$D$4:$K$4&lt;=Parametros!$C$6)*Hitos!$D$7:$K$7)</f>
        <v>21</v>
      </c>
      <c r="D25" s="30" t="n">
        <v>0</v>
      </c>
      <c r="E25" s="30" t="n">
        <f aca="false">C25+D25</f>
        <v>21</v>
      </c>
      <c r="F25" s="34" t="n">
        <f aca="false">Hitos!L5</f>
        <v>35</v>
      </c>
      <c r="G25" s="34" t="n">
        <f aca="false">Hitos!L6</f>
        <v>21</v>
      </c>
      <c r="H25" s="45" t="n">
        <f aca="false">IF(F25=0,0,E25/F25*Hitos!M5)</f>
        <v>2904000</v>
      </c>
      <c r="I25" s="45" t="n">
        <f aca="false">IF(G25=0,0,E25/G25*Hitos!N5)</f>
        <v>4840000</v>
      </c>
    </row>
    <row r="26" customFormat="false" ht="15" hidden="false" customHeight="false" outlineLevel="0" collapsed="false">
      <c r="A26" s="34" t="n">
        <f aca="false">Hitos!A8</f>
        <v>7</v>
      </c>
      <c r="B26" s="44" t="str">
        <f aca="false">Hitos!B8</f>
        <v>Delegaciones Policiales construidas, equipadas y operando</v>
      </c>
      <c r="C26" s="30" t="n">
        <f aca="false">SUMPRODUCT((Hitos!$D$4:$K$4&lt;=Parametros!$C$6)*Hitos!$D$10:$K$10)</f>
        <v>12</v>
      </c>
      <c r="D26" s="30" t="n">
        <v>0</v>
      </c>
      <c r="E26" s="30" t="n">
        <f aca="false">C26+D26</f>
        <v>12</v>
      </c>
      <c r="F26" s="34" t="n">
        <f aca="false">Hitos!L8</f>
        <v>35</v>
      </c>
      <c r="G26" s="34" t="n">
        <f aca="false">Hitos!L9</f>
        <v>17</v>
      </c>
      <c r="H26" s="45" t="n">
        <f aca="false">IF(F26=0,0,E26/F26*Hitos!M8)</f>
        <v>17826696.3428571</v>
      </c>
      <c r="I26" s="45" t="n">
        <f aca="false">IF(G26=0,0,E26/G26*Hitos!N8)</f>
        <v>36702021.1764706</v>
      </c>
    </row>
    <row r="27" customFormat="false" ht="15" hidden="false" customHeight="false" outlineLevel="0" collapsed="false">
      <c r="A27" s="34" t="n">
        <f aca="false">Hitos!A11</f>
        <v>15</v>
      </c>
      <c r="B27" s="44" t="str">
        <f aca="false">Hitos!B11</f>
        <v>CCPs diseñados</v>
      </c>
      <c r="C27" s="30" t="n">
        <f aca="false">SUMPRODUCT((Hitos!$D$4:$K$4&lt;=Parametros!$C$6)*Hitos!$D$13:$K$13)</f>
        <v>8</v>
      </c>
      <c r="D27" s="30" t="n">
        <v>0</v>
      </c>
      <c r="E27" s="30" t="n">
        <f aca="false">C27+D27</f>
        <v>8</v>
      </c>
      <c r="F27" s="34" t="n">
        <f aca="false">Hitos!L11</f>
        <v>8</v>
      </c>
      <c r="G27" s="34" t="n">
        <f aca="false">Hitos!L12</f>
        <v>8</v>
      </c>
      <c r="H27" s="45" t="n">
        <f aca="false">IF(F27=0,0,E27/F27*Hitos!M11)</f>
        <v>2300000</v>
      </c>
      <c r="I27" s="45" t="n">
        <f aca="false">IF(G27=0,0,E27/G27*Hitos!N11)</f>
        <v>2300000</v>
      </c>
    </row>
    <row r="28" customFormat="false" ht="15" hidden="false" customHeight="false" outlineLevel="0" collapsed="false">
      <c r="A28" s="34" t="n">
        <f aca="false">Hitos!A14</f>
        <v>15</v>
      </c>
      <c r="B28" s="44" t="str">
        <f aca="false">Hitos!B14</f>
        <v>CCPs construidos, equipados y en funcionamiento</v>
      </c>
      <c r="C28" s="30" t="n">
        <f aca="false">SUMPRODUCT((Hitos!$D$4:$K$4&lt;=Parametros!$C$6)*Hitos!$D$16:$K$16)</f>
        <v>4</v>
      </c>
      <c r="D28" s="30" t="n">
        <v>0</v>
      </c>
      <c r="E28" s="30" t="n">
        <f aca="false">C28+D28</f>
        <v>4</v>
      </c>
      <c r="F28" s="34" t="n">
        <f aca="false">Hitos!L14</f>
        <v>8</v>
      </c>
      <c r="G28" s="34" t="n">
        <f aca="false">Hitos!L15</f>
        <v>8</v>
      </c>
      <c r="H28" s="45" t="n">
        <f aca="false">IF(F28=0,0,E28/F28*Hitos!M14)</f>
        <v>14282500</v>
      </c>
      <c r="I28" s="45" t="n">
        <f aca="false">IF(G28=0,0,E28/G28*Hitos!N14)</f>
        <v>14282500</v>
      </c>
    </row>
    <row r="29" customFormat="false" ht="15" hidden="false" customHeight="false" outlineLevel="0" collapsed="false">
      <c r="A29" s="34" t="n">
        <f aca="false">Hitos!A17</f>
        <v>15</v>
      </c>
      <c r="B29" s="44" t="str">
        <f aca="false">Hitos!B17</f>
        <v>Techados de Skate Parks Garabito y Santa Cruz construidos</v>
      </c>
      <c r="C29" s="30" t="n">
        <f aca="false">SUMPRODUCT((Hitos!$D$4:$K$4&lt;=Parametros!$C$6)*Hitos!$D$19:$K$19)</f>
        <v>2</v>
      </c>
      <c r="D29" s="30" t="n">
        <v>0</v>
      </c>
      <c r="E29" s="30" t="n">
        <f aca="false">C29+D29</f>
        <v>2</v>
      </c>
      <c r="F29" s="34" t="n">
        <f aca="false">Hitos!L17</f>
        <v>2</v>
      </c>
      <c r="G29" s="34" t="n">
        <f aca="false">Hitos!L18</f>
        <v>2</v>
      </c>
      <c r="H29" s="45" t="n">
        <f aca="false">IF(F29=0,0,E29/F29*Hitos!M17)</f>
        <v>730000</v>
      </c>
      <c r="I29" s="45" t="n">
        <f aca="false">IF(G29=0,0,E29/G29*Hitos!N17)</f>
        <v>730000</v>
      </c>
    </row>
    <row r="35" customFormat="false" ht="15" hidden="false" customHeight="false" outlineLevel="0" collapsed="false">
      <c r="A35" s="28" t="s">
        <v>183</v>
      </c>
      <c r="C35" s="43" t="str">
        <f aca="false">Escenarios!D5</f>
        <v>Cierre 2026 sin cambios</v>
      </c>
    </row>
    <row r="36" customFormat="false" ht="15" hidden="false" customHeight="false" outlineLevel="0" collapsed="false">
      <c r="A36" s="7" t="s">
        <v>74</v>
      </c>
      <c r="B36" s="7" t="s">
        <v>75</v>
      </c>
      <c r="C36" s="7" t="s">
        <v>164</v>
      </c>
      <c r="D36" s="7" t="s">
        <v>165</v>
      </c>
      <c r="E36" s="7" t="s">
        <v>166</v>
      </c>
      <c r="F36" s="7" t="s">
        <v>167</v>
      </c>
      <c r="G36" s="7" t="s">
        <v>168</v>
      </c>
      <c r="H36" s="7" t="s">
        <v>169</v>
      </c>
      <c r="I36" s="7" t="s">
        <v>170</v>
      </c>
      <c r="J36" s="7" t="s">
        <v>171</v>
      </c>
      <c r="K36" s="7" t="s">
        <v>172</v>
      </c>
      <c r="L36" s="7" t="s">
        <v>173</v>
      </c>
      <c r="M36" s="7" t="s">
        <v>174</v>
      </c>
    </row>
    <row r="37" customFormat="false" ht="15" hidden="false" customHeight="false" outlineLevel="0" collapsed="false">
      <c r="A37" s="30" t="n">
        <v>1</v>
      </c>
      <c r="B37" s="44" t="str">
        <f aca="false">Fisico!B5</f>
        <v>P1.1. Plataformas de datos policiales integradas e interoperables</v>
      </c>
      <c r="C37" s="44" t="str">
        <f aca="false">Fisico!D5</f>
        <v>No</v>
      </c>
      <c r="D37" s="45" t="n">
        <f aca="false">SUMPRODUCT((Financiero!$F$4:$M$4&lt;=Parametros!$C$6)*Financiero!$F$5:$M$5)</f>
        <v>758011</v>
      </c>
      <c r="E37" s="45" t="n">
        <f aca="false">SUMPRODUCT((Financiero!$F$4:$M$4&lt;Parametros!$C$6)*Financiero!$F$7:$M$7)+SUMPRODUCT((Financiero!$F$4:$M$4=Parametros!$C$6)*Financiero!$F$6:$M$6)</f>
        <v>224656.16</v>
      </c>
      <c r="F37" s="45" t="n">
        <f aca="false">SUMPRODUCT((Financiero!$F$4:$M$4&lt;=Parametros!$C$6)*Financiero!$F$7:$M$7)+N(Escenarios!D16)</f>
        <v>224656.16</v>
      </c>
      <c r="G37" s="46" t="n">
        <f aca="false">SUMPRODUCT((Fisico!$F$4:$M$4&lt;=Parametros!$C$6)*Fisico!$F$5:$M$5)</f>
        <v>1</v>
      </c>
      <c r="H37" s="46" t="n">
        <f aca="false">SUMPRODUCT((Fisico!$F$4:$M$4&lt;Parametros!$C$6)*Fisico!$F$7:$M$7)+SUMPRODUCT((Fisico!$F$4:$M$4=Parametros!$C$6)*Fisico!$F$6:$M$6)</f>
        <v>0</v>
      </c>
      <c r="I37" s="46" t="n">
        <f aca="false">SUMPRODUCT((Fisico!$F$4:$M$4&lt;=Parametros!$C$6)*Fisico!$F$7:$M$7)+N(Escenarios!C16)</f>
        <v>0</v>
      </c>
      <c r="J37" s="47" t="n">
        <f aca="false">IF(G37=0,"N/A",I37/G37)</f>
        <v>0</v>
      </c>
      <c r="K37" s="47" t="str">
        <f aca="false">IF(H37=0,"N/A",I37/H37)</f>
        <v>N/A</v>
      </c>
      <c r="L37" s="45" t="n">
        <f aca="false">IF(C37="Sí",SUMIF($A$57:$A$61,A37,$H$57:$H$61),IF(J37="N/A",F37,J37*D37))</f>
        <v>0</v>
      </c>
      <c r="M37" s="45" t="n">
        <f aca="false">IF(C37="Sí",SUMIF($A$57:$A$61,A37,$I$57:$I$61),IF(K37="N/A",F37,K37*E37))</f>
        <v>224656.16</v>
      </c>
    </row>
    <row r="38" customFormat="false" ht="15" hidden="false" customHeight="false" outlineLevel="0" collapsed="false">
      <c r="A38" s="30" t="n">
        <v>2</v>
      </c>
      <c r="B38" s="44" t="str">
        <f aca="false">Fisico!B8</f>
        <v>P1.2. Sistema de información delictual fortalecidos y en funcionamiento</v>
      </c>
      <c r="C38" s="44" t="str">
        <f aca="false">Fisico!D8</f>
        <v>No</v>
      </c>
      <c r="D38" s="45" t="n">
        <f aca="false">SUMPRODUCT((Financiero!$F$4:$M$4&lt;=Parametros!$C$6)*Financiero!$F$8:$M$8)</f>
        <v>3104457</v>
      </c>
      <c r="E38" s="45" t="n">
        <f aca="false">SUMPRODUCT((Financiero!$F$4:$M$4&lt;Parametros!$C$6)*Financiero!$F$10:$M$10)+SUMPRODUCT((Financiero!$F$4:$M$4=Parametros!$C$6)*Financiero!$F$9:$M$9)</f>
        <v>23360</v>
      </c>
      <c r="F38" s="45" t="n">
        <f aca="false">SUMPRODUCT((Financiero!$F$4:$M$4&lt;=Parametros!$C$6)*Financiero!$F$10:$M$10)+N(Escenarios!D17)</f>
        <v>23360</v>
      </c>
      <c r="G38" s="46" t="n">
        <f aca="false">SUMPRODUCT((Fisico!$F$4:$M$4&lt;=Parametros!$C$6)*Fisico!$F$8:$M$8)</f>
        <v>1</v>
      </c>
      <c r="H38" s="46" t="n">
        <f aca="false">SUMPRODUCT((Fisico!$F$4:$M$4&lt;Parametros!$C$6)*Fisico!$F$10:$M$10)+SUMPRODUCT((Fisico!$F$4:$M$4=Parametros!$C$6)*Fisico!$F$9:$M$9)</f>
        <v>0</v>
      </c>
      <c r="I38" s="46" t="n">
        <f aca="false">SUMPRODUCT((Fisico!$F$4:$M$4&lt;=Parametros!$C$6)*Fisico!$F$10:$M$10)+N(Escenarios!C17)</f>
        <v>0</v>
      </c>
      <c r="J38" s="47" t="n">
        <f aca="false">IF(G38=0,"N/A",I38/G38)</f>
        <v>0</v>
      </c>
      <c r="K38" s="47" t="str">
        <f aca="false">IF(H38=0,"N/A",I38/H38)</f>
        <v>N/A</v>
      </c>
      <c r="L38" s="45" t="n">
        <f aca="false">IF(C38="Sí",SUMIF($A$57:$A$61,A38,$H$57:$H$61),IF(J38="N/A",F38,J38*D38))</f>
        <v>0</v>
      </c>
      <c r="M38" s="45" t="n">
        <f aca="false">IF(C38="Sí",SUMIF($A$57:$A$61,A38,$I$57:$I$61),IF(K38="N/A",F38,K38*E38))</f>
        <v>23360</v>
      </c>
    </row>
    <row r="39" customFormat="false" ht="15" hidden="false" customHeight="false" outlineLevel="0" collapsed="false">
      <c r="A39" s="30" t="n">
        <v>3</v>
      </c>
      <c r="B39" s="44" t="str">
        <f aca="false">Fisico!B11</f>
        <v>P.1.3. Departamentos de la FP capacitados en análisis criminal y monitoreo de dinámicas delictivas</v>
      </c>
      <c r="C39" s="44" t="str">
        <f aca="false">Fisico!D11</f>
        <v>No</v>
      </c>
      <c r="D39" s="45" t="n">
        <f aca="false">SUMPRODUCT((Financiero!$F$4:$M$4&lt;=Parametros!$C$6)*Financiero!$F$11:$M$11)</f>
        <v>300000</v>
      </c>
      <c r="E39" s="45" t="n">
        <f aca="false">SUMPRODUCT((Financiero!$F$4:$M$4&lt;Parametros!$C$6)*Financiero!$F$13:$M$13)+SUMPRODUCT((Financiero!$F$4:$M$4=Parametros!$C$6)*Financiero!$F$12:$M$12)</f>
        <v>140489.6</v>
      </c>
      <c r="F39" s="45" t="n">
        <f aca="false">SUMPRODUCT((Financiero!$F$4:$M$4&lt;=Parametros!$C$6)*Financiero!$F$13:$M$13)+N(Escenarios!D18)</f>
        <v>140489.6</v>
      </c>
      <c r="G39" s="46" t="n">
        <f aca="false">SUMPRODUCT((Fisico!$F$4:$M$4&lt;=Parametros!$C$6)*Fisico!$F$11:$M$11)</f>
        <v>16</v>
      </c>
      <c r="H39" s="46" t="n">
        <f aca="false">SUMPRODUCT((Fisico!$F$4:$M$4&lt;Parametros!$C$6)*Fisico!$F$13:$M$13)+SUMPRODUCT((Fisico!$F$4:$M$4=Parametros!$C$6)*Fisico!$F$12:$M$12)</f>
        <v>29</v>
      </c>
      <c r="I39" s="46" t="n">
        <f aca="false">SUMPRODUCT((Fisico!$F$4:$M$4&lt;=Parametros!$C$6)*Fisico!$F$13:$M$13)+N(Escenarios!C18)</f>
        <v>29</v>
      </c>
      <c r="J39" s="47" t="n">
        <f aca="false">IF(G39=0,"N/A",I39/G39)</f>
        <v>1.8125</v>
      </c>
      <c r="K39" s="47" t="n">
        <f aca="false">IF(H39=0,"N/A",I39/H39)</f>
        <v>1</v>
      </c>
      <c r="L39" s="45" t="n">
        <f aca="false">IF(C39="Sí",SUMIF($A$57:$A$61,A39,$H$57:$H$61),IF(J39="N/A",F39,J39*D39))</f>
        <v>543750</v>
      </c>
      <c r="M39" s="45" t="n">
        <f aca="false">IF(C39="Sí",SUMIF($A$57:$A$61,A39,$I$57:$I$61),IF(K39="N/A",F39,K39*E39))</f>
        <v>140489.6</v>
      </c>
    </row>
    <row r="40" customFormat="false" ht="15" hidden="false" customHeight="false" outlineLevel="0" collapsed="false">
      <c r="A40" s="30" t="n">
        <v>4</v>
      </c>
      <c r="B40" s="44" t="str">
        <f aca="false">Fisico!B14</f>
        <v>P.1.4. Estrategias policiales basadas en evidencia diseñadas e implementadas</v>
      </c>
      <c r="C40" s="44" t="str">
        <f aca="false">Fisico!D14</f>
        <v>No</v>
      </c>
      <c r="D40" s="45" t="n">
        <f aca="false">SUMPRODUCT((Financiero!$F$4:$M$4&lt;=Parametros!$C$6)*Financiero!$F$14:$M$14)</f>
        <v>1603001</v>
      </c>
      <c r="E40" s="45" t="n">
        <f aca="false">SUMPRODUCT((Financiero!$F$4:$M$4&lt;Parametros!$C$6)*Financiero!$F$16:$M$16)+SUMPRODUCT((Financiero!$F$4:$M$4=Parametros!$C$6)*Financiero!$F$15:$M$15)</f>
        <v>1399764.24</v>
      </c>
      <c r="F40" s="45" t="n">
        <f aca="false">SUMPRODUCT((Financiero!$F$4:$M$4&lt;=Parametros!$C$6)*Financiero!$F$16:$M$16)+N(Escenarios!D19)</f>
        <v>835473.63</v>
      </c>
      <c r="G40" s="46" t="n">
        <f aca="false">SUMPRODUCT((Fisico!$F$4:$M$4&lt;=Parametros!$C$6)*Fisico!$F$14:$M$14)</f>
        <v>1</v>
      </c>
      <c r="H40" s="46" t="n">
        <f aca="false">SUMPRODUCT((Fisico!$F$4:$M$4&lt;Parametros!$C$6)*Fisico!$F$16:$M$16)+SUMPRODUCT((Fisico!$F$4:$M$4=Parametros!$C$6)*Fisico!$F$15:$M$15)</f>
        <v>1</v>
      </c>
      <c r="I40" s="46" t="n">
        <f aca="false">SUMPRODUCT((Fisico!$F$4:$M$4&lt;=Parametros!$C$6)*Fisico!$F$16:$M$16)+N(Escenarios!C19)</f>
        <v>0</v>
      </c>
      <c r="J40" s="47" t="n">
        <f aca="false">IF(G40=0,"N/A",I40/G40)</f>
        <v>0</v>
      </c>
      <c r="K40" s="47" t="n">
        <f aca="false">IF(H40=0,"N/A",I40/H40)</f>
        <v>0</v>
      </c>
      <c r="L40" s="45" t="n">
        <f aca="false">IF(C40="Sí",SUMIF($A$57:$A$61,A40,$H$57:$H$61),IF(J40="N/A",F40,J40*D40))</f>
        <v>0</v>
      </c>
      <c r="M40" s="45" t="n">
        <f aca="false">IF(C40="Sí",SUMIF($A$57:$A$61,A40,$I$57:$I$61),IF(K40="N/A",F40,K40*E40))</f>
        <v>0</v>
      </c>
    </row>
    <row r="41" customFormat="false" ht="15" hidden="false" customHeight="false" outlineLevel="0" collapsed="false">
      <c r="A41" s="30" t="n">
        <v>5</v>
      </c>
      <c r="B41" s="44" t="str">
        <f aca="false">Fisico!B17</f>
        <v>P.1.5. Evaluación de impacto de estrategias policiales basadas en evidencia diseñada e implementada</v>
      </c>
      <c r="C41" s="44" t="str">
        <f aca="false">Fisico!D17</f>
        <v>No</v>
      </c>
      <c r="D41" s="45" t="n">
        <f aca="false">SUMPRODUCT((Financiero!$F$4:$M$4&lt;=Parametros!$C$6)*Financiero!$F$17:$M$17)</f>
        <v>150000</v>
      </c>
      <c r="E41" s="45" t="n">
        <f aca="false">SUMPRODUCT((Financiero!$F$4:$M$4&lt;Parametros!$C$6)*Financiero!$F$19:$M$19)+SUMPRODUCT((Financiero!$F$4:$M$4=Parametros!$C$6)*Financiero!$F$18:$M$18)</f>
        <v>130000</v>
      </c>
      <c r="F41" s="45" t="n">
        <f aca="false">SUMPRODUCT((Financiero!$F$4:$M$4&lt;=Parametros!$C$6)*Financiero!$F$19:$M$19)+N(Escenarios!D20)</f>
        <v>97637.5</v>
      </c>
      <c r="G41" s="46" t="n">
        <f aca="false">SUMPRODUCT((Fisico!$F$4:$M$4&lt;=Parametros!$C$6)*Fisico!$F$17:$M$17)</f>
        <v>1</v>
      </c>
      <c r="H41" s="46" t="n">
        <f aca="false">SUMPRODUCT((Fisico!$F$4:$M$4&lt;Parametros!$C$6)*Fisico!$F$19:$M$19)+SUMPRODUCT((Fisico!$F$4:$M$4=Parametros!$C$6)*Fisico!$F$18:$M$18)</f>
        <v>1</v>
      </c>
      <c r="I41" s="46" t="n">
        <f aca="false">SUMPRODUCT((Fisico!$F$4:$M$4&lt;=Parametros!$C$6)*Fisico!$F$19:$M$19)+N(Escenarios!C20)</f>
        <v>0</v>
      </c>
      <c r="J41" s="47" t="n">
        <f aca="false">IF(G41=0,"N/A",I41/G41)</f>
        <v>0</v>
      </c>
      <c r="K41" s="47" t="n">
        <f aca="false">IF(H41=0,"N/A",I41/H41)</f>
        <v>0</v>
      </c>
      <c r="L41" s="45" t="n">
        <f aca="false">IF(C41="Sí",SUMIF($A$57:$A$61,A41,$H$57:$H$61),IF(J41="N/A",F41,J41*D41))</f>
        <v>0</v>
      </c>
      <c r="M41" s="45" t="n">
        <f aca="false">IF(C41="Sí",SUMIF($A$57:$A$61,A41,$I$57:$I$61),IF(K41="N/A",F41,K41*E41))</f>
        <v>0</v>
      </c>
    </row>
    <row r="42" customFormat="false" ht="15" hidden="false" customHeight="false" outlineLevel="0" collapsed="false">
      <c r="A42" s="30" t="n">
        <v>6</v>
      </c>
      <c r="B42" s="44" t="str">
        <f aca="false">Fisico!B20</f>
        <v>P.1.6. Sistema de procesamiento de quejas ciudadanas y procesos disciplinarios, fortalecido</v>
      </c>
      <c r="C42" s="44" t="str">
        <f aca="false">Fisico!D20</f>
        <v>No</v>
      </c>
      <c r="D42" s="45" t="n">
        <f aca="false">SUMPRODUCT((Financiero!$F$4:$M$4&lt;=Parametros!$C$6)*Financiero!$F$20:$M$20)</f>
        <v>250000</v>
      </c>
      <c r="E42" s="45" t="n">
        <f aca="false">SUMPRODUCT((Financiero!$F$4:$M$4&lt;Parametros!$C$6)*Financiero!$F$22:$M$22)+SUMPRODUCT((Financiero!$F$4:$M$4=Parametros!$C$6)*Financiero!$F$21:$M$21)</f>
        <v>365000</v>
      </c>
      <c r="F42" s="45" t="n">
        <f aca="false">SUMPRODUCT((Financiero!$F$4:$M$4&lt;=Parametros!$C$6)*Financiero!$F$22:$M$22)+N(Escenarios!D21)</f>
        <v>277246.95</v>
      </c>
      <c r="G42" s="46" t="n">
        <f aca="false">SUMPRODUCT((Fisico!$F$4:$M$4&lt;=Parametros!$C$6)*Fisico!$F$20:$M$20)</f>
        <v>1</v>
      </c>
      <c r="H42" s="46" t="n">
        <f aca="false">SUMPRODUCT((Fisico!$F$4:$M$4&lt;Parametros!$C$6)*Fisico!$F$22:$M$22)+SUMPRODUCT((Fisico!$F$4:$M$4=Parametros!$C$6)*Fisico!$F$21:$M$21)</f>
        <v>1</v>
      </c>
      <c r="I42" s="46" t="n">
        <f aca="false">SUMPRODUCT((Fisico!$F$4:$M$4&lt;=Parametros!$C$6)*Fisico!$F$22:$M$22)+N(Escenarios!C21)</f>
        <v>0</v>
      </c>
      <c r="J42" s="47" t="n">
        <f aca="false">IF(G42=0,"N/A",I42/G42)</f>
        <v>0</v>
      </c>
      <c r="K42" s="47" t="n">
        <f aca="false">IF(H42=0,"N/A",I42/H42)</f>
        <v>0</v>
      </c>
      <c r="L42" s="45" t="n">
        <f aca="false">IF(C42="Sí",SUMIF($A$57:$A$61,A42,$H$57:$H$61),IF(J42="N/A",F42,J42*D42))</f>
        <v>0</v>
      </c>
      <c r="M42" s="45" t="n">
        <f aca="false">IF(C42="Sí",SUMIF($A$57:$A$61,A42,$I$57:$I$61),IF(K42="N/A",F42,K42*E42))</f>
        <v>0</v>
      </c>
    </row>
    <row r="43" customFormat="false" ht="15" hidden="false" customHeight="false" outlineLevel="0" collapsed="false">
      <c r="A43" s="30" t="n">
        <v>7</v>
      </c>
      <c r="B43" s="44" t="str">
        <f aca="false">Fisico!B23</f>
        <v>P.1.7. Delegaciones diseñadas, construida, equipadas y operando bajo el enfoque de policía comunitaria</v>
      </c>
      <c r="C43" s="44" t="str">
        <f aca="false">Fisico!D23</f>
        <v>Sí</v>
      </c>
      <c r="D43" s="45" t="n">
        <f aca="false">SUMPRODUCT((Financiero!$F$4:$M$4&lt;=Parametros!$C$6)*Financiero!$F$23:$M$23)</f>
        <v>56834531</v>
      </c>
      <c r="E43" s="45" t="n">
        <f aca="false">SUMPRODUCT((Financiero!$F$4:$M$4&lt;Parametros!$C$6)*Financiero!$F$25:$M$25)+SUMPRODUCT((Financiero!$F$4:$M$4=Parametros!$C$6)*Financiero!$F$24:$M$24)</f>
        <v>50172908.21</v>
      </c>
      <c r="F43" s="45" t="n">
        <f aca="false">SUMPRODUCT((Financiero!$F$4:$M$4&lt;=Parametros!$C$6)*Financiero!$F$25:$M$25)+N(Escenarios!D22)</f>
        <v>46198416.25</v>
      </c>
      <c r="G43" s="46" t="n">
        <f aca="false">SUMPRODUCT((Fisico!$F$4:$M$4&lt;=Parametros!$C$6)*Fisico!$F$23:$M$23)</f>
        <v>35</v>
      </c>
      <c r="H43" s="46" t="n">
        <f aca="false">SUMPRODUCT((Fisico!$F$4:$M$4&lt;Parametros!$C$6)*Fisico!$F$25:$M$25)+SUMPRODUCT((Fisico!$F$4:$M$4=Parametros!$C$6)*Fisico!$F$24:$M$24)</f>
        <v>11</v>
      </c>
      <c r="I43" s="46" t="n">
        <f aca="false">SUMPRODUCT((Fisico!$F$4:$M$4&lt;=Parametros!$C$6)*Fisico!$F$25:$M$25)+N(Escenarios!C22)</f>
        <v>12</v>
      </c>
      <c r="J43" s="47" t="n">
        <f aca="false">IF(G43=0,"N/A",I43/G43)</f>
        <v>0.342857142857143</v>
      </c>
      <c r="K43" s="47" t="n">
        <f aca="false">IF(H43=0,"N/A",I43/H43)</f>
        <v>1.09090909090909</v>
      </c>
      <c r="L43" s="45" t="n">
        <f aca="false">IF(C43="Sí",SUMIF($A$57:$A$61,A43,$H$57:$H$61),IF(J43="N/A",F43,J43*D43))</f>
        <v>20730696.3428571</v>
      </c>
      <c r="M43" s="45" t="n">
        <f aca="false">IF(C43="Sí",SUMIF($A$57:$A$61,A43,$I$57:$I$61),IF(K43="N/A",F43,K43*E43))</f>
        <v>41542021.1764706</v>
      </c>
    </row>
    <row r="44" customFormat="false" ht="15" hidden="false" customHeight="false" outlineLevel="0" collapsed="false">
      <c r="A44" s="30" t="n">
        <v>8</v>
      </c>
      <c r="B44" s="44" t="str">
        <f aca="false">Fisico!B26</f>
        <v>Centro de Mando y Control Policial (CMCP) diseñado, construido, equipado y en funcionamiento</v>
      </c>
      <c r="C44" s="44" t="str">
        <f aca="false">Fisico!D26</f>
        <v>No</v>
      </c>
      <c r="D44" s="45" t="n">
        <f aca="false">SUMPRODUCT((Financiero!$F$4:$M$4&lt;=Parametros!$C$6)*Financiero!$F$26:$M$26)</f>
        <v>0</v>
      </c>
      <c r="E44" s="45" t="n">
        <f aca="false">SUMPRODUCT((Financiero!$F$4:$M$4&lt;Parametros!$C$6)*Financiero!$F$28:$M$28)+SUMPRODUCT((Financiero!$F$4:$M$4=Parametros!$C$6)*Financiero!$F$27:$M$27)</f>
        <v>3162756.25</v>
      </c>
      <c r="F44" s="45" t="n">
        <f aca="false">SUMPRODUCT((Financiero!$F$4:$M$4&lt;=Parametros!$C$6)*Financiero!$F$28:$M$28)+N(Escenarios!D23)</f>
        <v>2499243.73</v>
      </c>
      <c r="G44" s="46" t="n">
        <f aca="false">SUMPRODUCT((Fisico!$F$4:$M$4&lt;=Parametros!$C$6)*Fisico!$F$26:$M$26)</f>
        <v>0</v>
      </c>
      <c r="H44" s="46" t="n">
        <f aca="false">SUMPRODUCT((Fisico!$F$4:$M$4&lt;Parametros!$C$6)*Fisico!$F$28:$M$28)+SUMPRODUCT((Fisico!$F$4:$M$4=Parametros!$C$6)*Fisico!$F$27:$M$27)</f>
        <v>0</v>
      </c>
      <c r="I44" s="46" t="n">
        <f aca="false">SUMPRODUCT((Fisico!$F$4:$M$4&lt;=Parametros!$C$6)*Fisico!$F$28:$M$28)+N(Escenarios!C23)</f>
        <v>0</v>
      </c>
      <c r="J44" s="47" t="str">
        <f aca="false">IF(G44=0,"N/A",I44/G44)</f>
        <v>N/A</v>
      </c>
      <c r="K44" s="47" t="str">
        <f aca="false">IF(H44=0,"N/A",I44/H44)</f>
        <v>N/A</v>
      </c>
      <c r="L44" s="45" t="n">
        <f aca="false">IF(C44="Sí",SUMIF($A$57:$A$61,A44,$H$57:$H$61),IF(J44="N/A",F44,J44*D44))</f>
        <v>2499243.73</v>
      </c>
      <c r="M44" s="45" t="n">
        <f aca="false">IF(C44="Sí",SUMIF($A$57:$A$61,A44,$I$57:$I$61),IF(K44="N/A",F44,K44*E44))</f>
        <v>2499243.73</v>
      </c>
    </row>
    <row r="45" customFormat="false" ht="15" hidden="false" customHeight="false" outlineLevel="0" collapsed="false">
      <c r="A45" s="30" t="n">
        <v>9</v>
      </c>
      <c r="B45" s="44" t="str">
        <f aca="false">Fisico!B29</f>
        <v>P.2.1. Modelo de atención de los CCP actualizado, fortalecido, y en funcionamiento en los CCPs de la red</v>
      </c>
      <c r="C45" s="44" t="str">
        <f aca="false">Fisico!D29</f>
        <v>No</v>
      </c>
      <c r="D45" s="45" t="n">
        <f aca="false">SUMPRODUCT((Financiero!$F$4:$M$4&lt;=Parametros!$C$6)*Financiero!$F$29:$M$29)</f>
        <v>300000</v>
      </c>
      <c r="E45" s="45" t="n">
        <f aca="false">SUMPRODUCT((Financiero!$F$4:$M$4&lt;Parametros!$C$6)*Financiero!$F$31:$M$31)+SUMPRODUCT((Financiero!$F$4:$M$4=Parametros!$C$6)*Financiero!$F$30:$M$30)</f>
        <v>353000</v>
      </c>
      <c r="F45" s="45" t="n">
        <f aca="false">SUMPRODUCT((Financiero!$F$4:$M$4&lt;=Parametros!$C$6)*Financiero!$F$31:$M$31)+N(Escenarios!D24)</f>
        <v>179915.1</v>
      </c>
      <c r="G45" s="46" t="n">
        <f aca="false">SUMPRODUCT((Fisico!$F$4:$M$4&lt;=Parametros!$C$6)*Fisico!$F$29:$M$29)</f>
        <v>1</v>
      </c>
      <c r="H45" s="46" t="n">
        <f aca="false">SUMPRODUCT((Fisico!$F$4:$M$4&lt;Parametros!$C$6)*Fisico!$F$31:$M$31)+SUMPRODUCT((Fisico!$F$4:$M$4=Parametros!$C$6)*Fisico!$F$30:$M$30)</f>
        <v>1</v>
      </c>
      <c r="I45" s="46" t="n">
        <f aca="false">SUMPRODUCT((Fisico!$F$4:$M$4&lt;=Parametros!$C$6)*Fisico!$F$31:$M$31)+N(Escenarios!C24)</f>
        <v>0</v>
      </c>
      <c r="J45" s="47" t="n">
        <f aca="false">IF(G45=0,"N/A",I45/G45)</f>
        <v>0</v>
      </c>
      <c r="K45" s="47" t="n">
        <f aca="false">IF(H45=0,"N/A",I45/H45)</f>
        <v>0</v>
      </c>
      <c r="L45" s="45" t="n">
        <f aca="false">IF(C45="Sí",SUMIF($A$57:$A$61,A45,$H$57:$H$61),IF(J45="N/A",F45,J45*D45))</f>
        <v>0</v>
      </c>
      <c r="M45" s="45" t="n">
        <f aca="false">IF(C45="Sí",SUMIF($A$57:$A$61,A45,$I$57:$I$61),IF(K45="N/A",F45,K45*E45))</f>
        <v>0</v>
      </c>
    </row>
    <row r="46" customFormat="false" ht="15" hidden="false" customHeight="false" outlineLevel="0" collapsed="false">
      <c r="A46" s="30" t="n">
        <v>10</v>
      </c>
      <c r="B46" s="44" t="str">
        <f aca="false">Fisico!B32</f>
        <v>P.2.2. Modelo de gestión de los CCP homologado, fortalecido y en funcionamiento en los CCPs de la red</v>
      </c>
      <c r="C46" s="44" t="str">
        <f aca="false">Fisico!D32</f>
        <v>No</v>
      </c>
      <c r="D46" s="45" t="n">
        <f aca="false">SUMPRODUCT((Financiero!$F$4:$M$4&lt;=Parametros!$C$6)*Financiero!$F$32:$M$32)</f>
        <v>145000</v>
      </c>
      <c r="E46" s="45" t="n">
        <f aca="false">SUMPRODUCT((Financiero!$F$4:$M$4&lt;Parametros!$C$6)*Financiero!$F$34:$M$34)+SUMPRODUCT((Financiero!$F$4:$M$4=Parametros!$C$6)*Financiero!$F$33:$M$33)</f>
        <v>141855</v>
      </c>
      <c r="F46" s="45" t="n">
        <f aca="false">SUMPRODUCT((Financiero!$F$4:$M$4&lt;=Parametros!$C$6)*Financiero!$F$34:$M$34)+N(Escenarios!D25)</f>
        <v>0</v>
      </c>
      <c r="G46" s="46" t="n">
        <f aca="false">SUMPRODUCT((Fisico!$F$4:$M$4&lt;=Parametros!$C$6)*Fisico!$F$32:$M$32)</f>
        <v>1</v>
      </c>
      <c r="H46" s="46" t="n">
        <f aca="false">SUMPRODUCT((Fisico!$F$4:$M$4&lt;Parametros!$C$6)*Fisico!$F$34:$M$34)+SUMPRODUCT((Fisico!$F$4:$M$4=Parametros!$C$6)*Fisico!$F$33:$M$33)</f>
        <v>1</v>
      </c>
      <c r="I46" s="46" t="n">
        <f aca="false">SUMPRODUCT((Fisico!$F$4:$M$4&lt;=Parametros!$C$6)*Fisico!$F$34:$M$34)+N(Escenarios!C25)</f>
        <v>0</v>
      </c>
      <c r="J46" s="47" t="n">
        <f aca="false">IF(G46=0,"N/A",I46/G46)</f>
        <v>0</v>
      </c>
      <c r="K46" s="47" t="n">
        <f aca="false">IF(H46=0,"N/A",I46/H46)</f>
        <v>0</v>
      </c>
      <c r="L46" s="45" t="n">
        <f aca="false">IF(C46="Sí",SUMIF($A$57:$A$61,A46,$H$57:$H$61),IF(J46="N/A",F46,J46*D46))</f>
        <v>0</v>
      </c>
      <c r="M46" s="45" t="n">
        <f aca="false">IF(C46="Sí",SUMIF($A$57:$A$61,A46,$I$57:$I$61),IF(K46="N/A",F46,K46*E46))</f>
        <v>0</v>
      </c>
    </row>
    <row r="47" customFormat="false" ht="15" hidden="false" customHeight="false" outlineLevel="0" collapsed="false">
      <c r="A47" s="30" t="n">
        <v>11</v>
      </c>
      <c r="B47" s="44" t="str">
        <f aca="false">Fisico!B35</f>
        <v>P.2.3. Municipalidades y grupos de sociedad civil capacitados y utilizando las nuevas competencias adquiridas en prevención de violencia</v>
      </c>
      <c r="C47" s="44" t="str">
        <f aca="false">Fisico!D35</f>
        <v>No</v>
      </c>
      <c r="D47" s="45" t="n">
        <f aca="false">SUMPRODUCT((Financiero!$F$4:$M$4&lt;=Parametros!$C$6)*Financiero!$F$35:$M$35)</f>
        <v>97500</v>
      </c>
      <c r="E47" s="45" t="n">
        <f aca="false">SUMPRODUCT((Financiero!$F$4:$M$4&lt;Parametros!$C$6)*Financiero!$F$37:$M$37)+SUMPRODUCT((Financiero!$F$4:$M$4=Parametros!$C$6)*Financiero!$F$36:$M$36)</f>
        <v>97495</v>
      </c>
      <c r="F47" s="45" t="n">
        <f aca="false">SUMPRODUCT((Financiero!$F$4:$M$4&lt;=Parametros!$C$6)*Financiero!$F$37:$M$37)+N(Escenarios!D26)</f>
        <v>81046.84</v>
      </c>
      <c r="G47" s="46" t="n">
        <f aca="false">SUMPRODUCT((Fisico!$F$4:$M$4&lt;=Parametros!$C$6)*Fisico!$F$35:$M$35)</f>
        <v>15</v>
      </c>
      <c r="H47" s="46" t="n">
        <f aca="false">SUMPRODUCT((Fisico!$F$4:$M$4&lt;Parametros!$C$6)*Fisico!$F$37:$M$37)+SUMPRODUCT((Fisico!$F$4:$M$4=Parametros!$C$6)*Fisico!$F$36:$M$36)</f>
        <v>15</v>
      </c>
      <c r="I47" s="46" t="n">
        <f aca="false">SUMPRODUCT((Fisico!$F$4:$M$4&lt;=Parametros!$C$6)*Fisico!$F$37:$M$37)+N(Escenarios!C26)</f>
        <v>15</v>
      </c>
      <c r="J47" s="47" t="n">
        <f aca="false">IF(G47=0,"N/A",I47/G47)</f>
        <v>1</v>
      </c>
      <c r="K47" s="47" t="n">
        <f aca="false">IF(H47=0,"N/A",I47/H47)</f>
        <v>1</v>
      </c>
      <c r="L47" s="45" t="n">
        <f aca="false">IF(C47="Sí",SUMIF($A$57:$A$61,A47,$H$57:$H$61),IF(J47="N/A",F47,J47*D47))</f>
        <v>97500</v>
      </c>
      <c r="M47" s="45" t="n">
        <f aca="false">IF(C47="Sí",SUMIF($A$57:$A$61,A47,$I$57:$I$61),IF(K47="N/A",F47,K47*E47))</f>
        <v>97495</v>
      </c>
    </row>
    <row r="48" customFormat="false" ht="15" hidden="false" customHeight="false" outlineLevel="0" collapsed="false">
      <c r="A48" s="30" t="n">
        <v>12</v>
      </c>
      <c r="B48" s="44" t="str">
        <f aca="false">Fisico!B38</f>
        <v>P.2.4. Estrategia de comunicación social de los CCP, diseñada e implementada</v>
      </c>
      <c r="C48" s="44" t="str">
        <f aca="false">Fisico!D38</f>
        <v>No</v>
      </c>
      <c r="D48" s="45" t="n">
        <f aca="false">SUMPRODUCT((Financiero!$F$4:$M$4&lt;=Parametros!$C$6)*Financiero!$F$38:$M$38)</f>
        <v>75000</v>
      </c>
      <c r="E48" s="45" t="n">
        <f aca="false">SUMPRODUCT((Financiero!$F$4:$M$4&lt;Parametros!$C$6)*Financiero!$F$40:$M$40)+SUMPRODUCT((Financiero!$F$4:$M$4=Parametros!$C$6)*Financiero!$F$39:$M$39)</f>
        <v>101393</v>
      </c>
      <c r="F48" s="45" t="n">
        <f aca="false">SUMPRODUCT((Financiero!$F$4:$M$4&lt;=Parametros!$C$6)*Financiero!$F$40:$M$40)+N(Escenarios!D27)</f>
        <v>46180</v>
      </c>
      <c r="G48" s="46" t="n">
        <f aca="false">SUMPRODUCT((Fisico!$F$4:$M$4&lt;=Parametros!$C$6)*Fisico!$F$38:$M$38)</f>
        <v>1</v>
      </c>
      <c r="H48" s="46" t="n">
        <f aca="false">SUMPRODUCT((Fisico!$F$4:$M$4&lt;Parametros!$C$6)*Fisico!$F$40:$M$40)+SUMPRODUCT((Fisico!$F$4:$M$4=Parametros!$C$6)*Fisico!$F$39:$M$39)</f>
        <v>1</v>
      </c>
      <c r="I48" s="46" t="n">
        <f aca="false">SUMPRODUCT((Fisico!$F$4:$M$4&lt;=Parametros!$C$6)*Fisico!$F$40:$M$40)+N(Escenarios!C27)</f>
        <v>1</v>
      </c>
      <c r="J48" s="47" t="n">
        <f aca="false">IF(G48=0,"N/A",I48/G48)</f>
        <v>1</v>
      </c>
      <c r="K48" s="47" t="n">
        <f aca="false">IF(H48=0,"N/A",I48/H48)</f>
        <v>1</v>
      </c>
      <c r="L48" s="45" t="n">
        <f aca="false">IF(C48="Sí",SUMIF($A$57:$A$61,A48,$H$57:$H$61),IF(J48="N/A",F48,J48*D48))</f>
        <v>75000</v>
      </c>
      <c r="M48" s="45" t="n">
        <f aca="false">IF(C48="Sí",SUMIF($A$57:$A$61,A48,$I$57:$I$61),IF(K48="N/A",F48,K48*E48))</f>
        <v>101393</v>
      </c>
    </row>
    <row r="49" customFormat="false" ht="15" hidden="false" customHeight="false" outlineLevel="0" collapsed="false">
      <c r="A49" s="30" t="n">
        <v>13</v>
      </c>
      <c r="B49" s="44" t="str">
        <f aca="false">Fisico!B41</f>
        <v>P.2.5. Sistema de información integrado de los CCP, desarrollado e implementado</v>
      </c>
      <c r="C49" s="44" t="str">
        <f aca="false">Fisico!D41</f>
        <v>No</v>
      </c>
      <c r="D49" s="45" t="n">
        <f aca="false">SUMPRODUCT((Financiero!$F$4:$M$4&lt;=Parametros!$C$6)*Financiero!$F$41:$M$41)</f>
        <v>87500</v>
      </c>
      <c r="E49" s="45" t="n">
        <f aca="false">SUMPRODUCT((Financiero!$F$4:$M$4&lt;Parametros!$C$6)*Financiero!$F$43:$M$43)+SUMPRODUCT((Financiero!$F$4:$M$4=Parametros!$C$6)*Financiero!$F$42:$M$42)</f>
        <v>109170</v>
      </c>
      <c r="F49" s="45" t="n">
        <f aca="false">SUMPRODUCT((Financiero!$F$4:$M$4&lt;=Parametros!$C$6)*Financiero!$F$43:$M$43)+N(Escenarios!D28)</f>
        <v>99715</v>
      </c>
      <c r="G49" s="46" t="n">
        <f aca="false">SUMPRODUCT((Fisico!$F$4:$M$4&lt;=Parametros!$C$6)*Fisico!$F$41:$M$41)</f>
        <v>1</v>
      </c>
      <c r="H49" s="46" t="n">
        <f aca="false">SUMPRODUCT((Fisico!$F$4:$M$4&lt;Parametros!$C$6)*Fisico!$F$43:$M$43)+SUMPRODUCT((Fisico!$F$4:$M$4=Parametros!$C$6)*Fisico!$F$42:$M$42)</f>
        <v>1</v>
      </c>
      <c r="I49" s="46" t="n">
        <f aca="false">SUMPRODUCT((Fisico!$F$4:$M$4&lt;=Parametros!$C$6)*Fisico!$F$43:$M$43)+N(Escenarios!C28)</f>
        <v>0</v>
      </c>
      <c r="J49" s="47" t="n">
        <f aca="false">IF(G49=0,"N/A",I49/G49)</f>
        <v>0</v>
      </c>
      <c r="K49" s="47" t="n">
        <f aca="false">IF(H49=0,"N/A",I49/H49)</f>
        <v>0</v>
      </c>
      <c r="L49" s="45" t="n">
        <f aca="false">IF(C49="Sí",SUMIF($A$57:$A$61,A49,$H$57:$H$61),IF(J49="N/A",F49,J49*D49))</f>
        <v>0</v>
      </c>
      <c r="M49" s="45" t="n">
        <f aca="false">IF(C49="Sí",SUMIF($A$57:$A$61,A49,$I$57:$I$61),IF(K49="N/A",F49,K49*E49))</f>
        <v>0</v>
      </c>
    </row>
    <row r="50" customFormat="false" ht="15" hidden="false" customHeight="false" outlineLevel="0" collapsed="false">
      <c r="A50" s="30" t="n">
        <v>14</v>
      </c>
      <c r="B50" s="44" t="str">
        <f aca="false">Fisico!B44</f>
        <v>P.2.6. Evaluación de impacto de los CCP diseñada e implementada</v>
      </c>
      <c r="C50" s="44" t="str">
        <f aca="false">Fisico!D44</f>
        <v>No</v>
      </c>
      <c r="D50" s="45" t="n">
        <f aca="false">SUMPRODUCT((Financiero!$F$4:$M$4&lt;=Parametros!$C$6)*Financiero!$F$44:$M$44)</f>
        <v>200000</v>
      </c>
      <c r="E50" s="45" t="n">
        <f aca="false">SUMPRODUCT((Financiero!$F$4:$M$4&lt;Parametros!$C$6)*Financiero!$F$46:$M$46)+SUMPRODUCT((Financiero!$F$4:$M$4=Parametros!$C$6)*Financiero!$F$45:$M$45)</f>
        <v>102087</v>
      </c>
      <c r="F50" s="45" t="n">
        <f aca="false">SUMPRODUCT((Financiero!$F$4:$M$4&lt;=Parametros!$C$6)*Financiero!$F$46:$M$46)+N(Escenarios!D29)</f>
        <v>13887.5</v>
      </c>
      <c r="G50" s="46" t="n">
        <f aca="false">SUMPRODUCT((Fisico!$F$4:$M$4&lt;=Parametros!$C$6)*Fisico!$F$44:$M$44)</f>
        <v>1</v>
      </c>
      <c r="H50" s="46" t="n">
        <f aca="false">SUMPRODUCT((Fisico!$F$4:$M$4&lt;Parametros!$C$6)*Fisico!$F$46:$M$46)+SUMPRODUCT((Fisico!$F$4:$M$4=Parametros!$C$6)*Fisico!$F$45:$M$45)</f>
        <v>1</v>
      </c>
      <c r="I50" s="46" t="n">
        <f aca="false">SUMPRODUCT((Fisico!$F$4:$M$4&lt;=Parametros!$C$6)*Fisico!$F$46:$M$46)+N(Escenarios!C29)</f>
        <v>0</v>
      </c>
      <c r="J50" s="47" t="n">
        <f aca="false">IF(G50=0,"N/A",I50/G50)</f>
        <v>0</v>
      </c>
      <c r="K50" s="47" t="n">
        <f aca="false">IF(H50=0,"N/A",I50/H50)</f>
        <v>0</v>
      </c>
      <c r="L50" s="45" t="n">
        <f aca="false">IF(C50="Sí",SUMIF($A$57:$A$61,A50,$H$57:$H$61),IF(J50="N/A",F50,J50*D50))</f>
        <v>0</v>
      </c>
      <c r="M50" s="45" t="n">
        <f aca="false">IF(C50="Sí",SUMIF($A$57:$A$61,A50,$I$57:$I$61),IF(K50="N/A",F50,K50*E50))</f>
        <v>0</v>
      </c>
    </row>
    <row r="51" customFormat="false" ht="15" hidden="false" customHeight="false" outlineLevel="0" collapsed="false">
      <c r="A51" s="30" t="n">
        <v>15</v>
      </c>
      <c r="B51" s="44" t="str">
        <f aca="false">Fisico!B47</f>
        <v>P.2.7. CCP diseñados, construidos, equipados y en funcionamiento</v>
      </c>
      <c r="C51" s="44" t="str">
        <f aca="false">Fisico!D47</f>
        <v>Sí</v>
      </c>
      <c r="D51" s="45" t="n">
        <f aca="false">SUMPRODUCT((Financiero!$F$4:$M$4&lt;=Parametros!$C$6)*Financiero!$F$47:$M$47)</f>
        <v>31595000</v>
      </c>
      <c r="E51" s="45" t="n">
        <f aca="false">SUMPRODUCT((Financiero!$F$4:$M$4&lt;Parametros!$C$6)*Financiero!$F$49:$M$49)+SUMPRODUCT((Financiero!$F$4:$M$4=Parametros!$C$6)*Financiero!$F$48:$M$48)</f>
        <v>27741937.04</v>
      </c>
      <c r="F51" s="45" t="n">
        <f aca="false">SUMPRODUCT((Financiero!$F$4:$M$4&lt;=Parametros!$C$6)*Financiero!$F$49:$M$49)+N(Escenarios!D30)</f>
        <v>22823823.5</v>
      </c>
      <c r="G51" s="46" t="n">
        <f aca="false">SUMPRODUCT((Fisico!$F$4:$M$4&lt;=Parametros!$C$6)*Fisico!$F$47:$M$47)</f>
        <v>8</v>
      </c>
      <c r="H51" s="46" t="n">
        <f aca="false">SUMPRODUCT((Fisico!$F$4:$M$4&lt;Parametros!$C$6)*Fisico!$F$49:$M$49)+SUMPRODUCT((Fisico!$F$4:$M$4=Parametros!$C$6)*Fisico!$F$48:$M$48)</f>
        <v>4</v>
      </c>
      <c r="I51" s="46" t="n">
        <f aca="false">SUMPRODUCT((Fisico!$F$4:$M$4&lt;=Parametros!$C$6)*Fisico!$F$49:$M$49)+N(Escenarios!C30)</f>
        <v>4</v>
      </c>
      <c r="J51" s="47" t="n">
        <f aca="false">IF(G51=0,"N/A",I51/G51)</f>
        <v>0.5</v>
      </c>
      <c r="K51" s="47" t="n">
        <f aca="false">IF(H51=0,"N/A",I51/H51)</f>
        <v>1</v>
      </c>
      <c r="L51" s="45" t="n">
        <f aca="false">IF(C51="Sí",SUMIF($A$57:$A$61,A51,$H$57:$H$61),IF(J51="N/A",F51,J51*D51))</f>
        <v>17312500</v>
      </c>
      <c r="M51" s="45" t="n">
        <f aca="false">IF(C51="Sí",SUMIF($A$57:$A$61,A51,$I$57:$I$61),IF(K51="N/A",F51,K51*E51))</f>
        <v>17312500</v>
      </c>
    </row>
    <row r="52" customFormat="false" ht="15" hidden="false" customHeight="false" outlineLevel="0" collapsed="false">
      <c r="B52" s="19" t="s">
        <v>175</v>
      </c>
      <c r="D52" s="48" t="n">
        <f aca="false">IF(SUM(D37:D51)=0,F52,SUM(D37:D51))</f>
        <v>95500000</v>
      </c>
      <c r="E52" s="48" t="n">
        <f aca="false">IF(SUM(E37:E51)=0,F52,SUM(E37:E51))</f>
        <v>84265871.5</v>
      </c>
      <c r="F52" s="48" t="n">
        <f aca="false">SUM(F37:F51)</f>
        <v>73541091.76</v>
      </c>
      <c r="L52" s="48" t="n">
        <f aca="false">IF(SUM(D37:D51)=0,F52,SUM(L37:L51))</f>
        <v>41258690.0728571</v>
      </c>
      <c r="M52" s="48" t="n">
        <f aca="false">IF(SUM(E37:E51)=0,F52,SUM(M37:M51))</f>
        <v>61941158.6664706</v>
      </c>
    </row>
    <row r="56" customFormat="false" ht="35.05" hidden="false" customHeight="false" outlineLevel="0" collapsed="false">
      <c r="A56" s="7" t="s">
        <v>79</v>
      </c>
      <c r="B56" s="7" t="s">
        <v>80</v>
      </c>
      <c r="C56" s="7" t="s">
        <v>176</v>
      </c>
      <c r="D56" s="7" t="s">
        <v>177</v>
      </c>
      <c r="E56" s="7" t="s">
        <v>178</v>
      </c>
      <c r="F56" s="7" t="s">
        <v>179</v>
      </c>
      <c r="G56" s="7" t="s">
        <v>180</v>
      </c>
      <c r="H56" s="7" t="s">
        <v>181</v>
      </c>
      <c r="I56" s="7" t="s">
        <v>182</v>
      </c>
    </row>
    <row r="57" customFormat="false" ht="15" hidden="false" customHeight="false" outlineLevel="0" collapsed="false">
      <c r="A57" s="34" t="n">
        <f aca="false">Hitos!A5</f>
        <v>7</v>
      </c>
      <c r="B57" s="44" t="str">
        <f aca="false">Hitos!B5</f>
        <v>Delegaciones Policiales diseñadas</v>
      </c>
      <c r="C57" s="30" t="n">
        <f aca="false">SUMPRODUCT((Hitos!$D$4:$K$4&lt;=Parametros!$C$6)*Hitos!$D$7:$K$7)</f>
        <v>21</v>
      </c>
      <c r="D57" s="30" t="n">
        <f aca="false">N(Escenarios!C35)</f>
        <v>0</v>
      </c>
      <c r="E57" s="30" t="n">
        <f aca="false">C57+D57</f>
        <v>21</v>
      </c>
      <c r="F57" s="34" t="n">
        <f aca="false">Hitos!L5</f>
        <v>35</v>
      </c>
      <c r="G57" s="34" t="n">
        <f aca="false">Hitos!L6</f>
        <v>21</v>
      </c>
      <c r="H57" s="45" t="n">
        <f aca="false">IF(F57=0,0,E57/F57*Hitos!M5)</f>
        <v>2904000</v>
      </c>
      <c r="I57" s="45" t="n">
        <f aca="false">IF(G57=0,0,E57/G57*Hitos!N5)</f>
        <v>4840000</v>
      </c>
    </row>
    <row r="58" customFormat="false" ht="15" hidden="false" customHeight="false" outlineLevel="0" collapsed="false">
      <c r="A58" s="34" t="n">
        <f aca="false">Hitos!A8</f>
        <v>7</v>
      </c>
      <c r="B58" s="44" t="str">
        <f aca="false">Hitos!B8</f>
        <v>Delegaciones Policiales construidas, equipadas y operando</v>
      </c>
      <c r="C58" s="30" t="n">
        <f aca="false">SUMPRODUCT((Hitos!$D$4:$K$4&lt;=Parametros!$C$6)*Hitos!$D$10:$K$10)</f>
        <v>12</v>
      </c>
      <c r="D58" s="30" t="n">
        <f aca="false">N(Escenarios!C36)</f>
        <v>0</v>
      </c>
      <c r="E58" s="30" t="n">
        <f aca="false">C58+D58</f>
        <v>12</v>
      </c>
      <c r="F58" s="34" t="n">
        <f aca="false">Hitos!L8</f>
        <v>35</v>
      </c>
      <c r="G58" s="34" t="n">
        <f aca="false">Hitos!L9</f>
        <v>17</v>
      </c>
      <c r="H58" s="45" t="n">
        <f aca="false">IF(F58=0,0,E58/F58*Hitos!M8)</f>
        <v>17826696.3428571</v>
      </c>
      <c r="I58" s="45" t="n">
        <f aca="false">IF(G58=0,0,E58/G58*Hitos!N8)</f>
        <v>36702021.1764706</v>
      </c>
    </row>
    <row r="59" customFormat="false" ht="15" hidden="false" customHeight="false" outlineLevel="0" collapsed="false">
      <c r="A59" s="34" t="n">
        <f aca="false">Hitos!A11</f>
        <v>15</v>
      </c>
      <c r="B59" s="44" t="str">
        <f aca="false">Hitos!B11</f>
        <v>CCPs diseñados</v>
      </c>
      <c r="C59" s="30" t="n">
        <f aca="false">SUMPRODUCT((Hitos!$D$4:$K$4&lt;=Parametros!$C$6)*Hitos!$D$13:$K$13)</f>
        <v>8</v>
      </c>
      <c r="D59" s="30" t="n">
        <f aca="false">N(Escenarios!C37)</f>
        <v>0</v>
      </c>
      <c r="E59" s="30" t="n">
        <f aca="false">C59+D59</f>
        <v>8</v>
      </c>
      <c r="F59" s="34" t="n">
        <f aca="false">Hitos!L11</f>
        <v>8</v>
      </c>
      <c r="G59" s="34" t="n">
        <f aca="false">Hitos!L12</f>
        <v>8</v>
      </c>
      <c r="H59" s="45" t="n">
        <f aca="false">IF(F59=0,0,E59/F59*Hitos!M11)</f>
        <v>2300000</v>
      </c>
      <c r="I59" s="45" t="n">
        <f aca="false">IF(G59=0,0,E59/G59*Hitos!N11)</f>
        <v>2300000</v>
      </c>
    </row>
    <row r="60" customFormat="false" ht="15" hidden="false" customHeight="false" outlineLevel="0" collapsed="false">
      <c r="A60" s="34" t="n">
        <f aca="false">Hitos!A14</f>
        <v>15</v>
      </c>
      <c r="B60" s="44" t="str">
        <f aca="false">Hitos!B14</f>
        <v>CCPs construidos, equipados y en funcionamiento</v>
      </c>
      <c r="C60" s="30" t="n">
        <f aca="false">SUMPRODUCT((Hitos!$D$4:$K$4&lt;=Parametros!$C$6)*Hitos!$D$16:$K$16)</f>
        <v>4</v>
      </c>
      <c r="D60" s="30" t="n">
        <f aca="false">N(Escenarios!C38)</f>
        <v>0</v>
      </c>
      <c r="E60" s="30" t="n">
        <f aca="false">C60+D60</f>
        <v>4</v>
      </c>
      <c r="F60" s="34" t="n">
        <f aca="false">Hitos!L14</f>
        <v>8</v>
      </c>
      <c r="G60" s="34" t="n">
        <f aca="false">Hitos!L15</f>
        <v>8</v>
      </c>
      <c r="H60" s="45" t="n">
        <f aca="false">IF(F60=0,0,E60/F60*Hitos!M14)</f>
        <v>14282500</v>
      </c>
      <c r="I60" s="45" t="n">
        <f aca="false">IF(G60=0,0,E60/G60*Hitos!N14)</f>
        <v>14282500</v>
      </c>
    </row>
    <row r="61" customFormat="false" ht="15" hidden="false" customHeight="false" outlineLevel="0" collapsed="false">
      <c r="A61" s="34" t="n">
        <f aca="false">Hitos!A17</f>
        <v>15</v>
      </c>
      <c r="B61" s="44" t="str">
        <f aca="false">Hitos!B17</f>
        <v>Techados de Skate Parks Garabito y Santa Cruz construidos</v>
      </c>
      <c r="C61" s="30" t="n">
        <f aca="false">SUMPRODUCT((Hitos!$D$4:$K$4&lt;=Parametros!$C$6)*Hitos!$D$19:$K$19)</f>
        <v>2</v>
      </c>
      <c r="D61" s="30" t="n">
        <f aca="false">N(Escenarios!C39)</f>
        <v>0</v>
      </c>
      <c r="E61" s="30" t="n">
        <f aca="false">C61+D61</f>
        <v>2</v>
      </c>
      <c r="F61" s="34" t="n">
        <f aca="false">Hitos!L17</f>
        <v>2</v>
      </c>
      <c r="G61" s="34" t="n">
        <f aca="false">Hitos!L18</f>
        <v>2</v>
      </c>
      <c r="H61" s="45" t="n">
        <f aca="false">IF(F61=0,0,E61/F61*Hitos!M17)</f>
        <v>730000</v>
      </c>
      <c r="I61" s="45" t="n">
        <f aca="false">IF(G61=0,0,E61/G61*Hitos!N17)</f>
        <v>730000</v>
      </c>
    </row>
    <row r="67" customFormat="false" ht="15" hidden="false" customHeight="false" outlineLevel="0" collapsed="false">
      <c r="A67" s="28" t="s">
        <v>184</v>
      </c>
      <c r="C67" s="43" t="str">
        <f aca="false">Escenarios!E5</f>
        <v>Entregas DP jul-ago 2026</v>
      </c>
    </row>
    <row r="68" customFormat="false" ht="15" hidden="false" customHeight="false" outlineLevel="0" collapsed="false">
      <c r="A68" s="7" t="s">
        <v>74</v>
      </c>
      <c r="B68" s="7" t="s">
        <v>75</v>
      </c>
      <c r="C68" s="7" t="s">
        <v>164</v>
      </c>
      <c r="D68" s="7" t="s">
        <v>165</v>
      </c>
      <c r="E68" s="7" t="s">
        <v>166</v>
      </c>
      <c r="F68" s="7" t="s">
        <v>167</v>
      </c>
      <c r="G68" s="7" t="s">
        <v>168</v>
      </c>
      <c r="H68" s="7" t="s">
        <v>169</v>
      </c>
      <c r="I68" s="7" t="s">
        <v>170</v>
      </c>
      <c r="J68" s="7" t="s">
        <v>171</v>
      </c>
      <c r="K68" s="7" t="s">
        <v>172</v>
      </c>
      <c r="L68" s="7" t="s">
        <v>173</v>
      </c>
      <c r="M68" s="7" t="s">
        <v>174</v>
      </c>
    </row>
    <row r="69" customFormat="false" ht="15" hidden="false" customHeight="false" outlineLevel="0" collapsed="false">
      <c r="A69" s="30" t="n">
        <v>1</v>
      </c>
      <c r="B69" s="44" t="str">
        <f aca="false">Fisico!B5</f>
        <v>P1.1. Plataformas de datos policiales integradas e interoperables</v>
      </c>
      <c r="C69" s="44" t="str">
        <f aca="false">Fisico!D5</f>
        <v>No</v>
      </c>
      <c r="D69" s="45" t="n">
        <f aca="false">SUMPRODUCT((Financiero!$F$4:$M$4&lt;=Parametros!$C$6)*Financiero!$F$5:$M$5)</f>
        <v>758011</v>
      </c>
      <c r="E69" s="45" t="n">
        <f aca="false">SUMPRODUCT((Financiero!$F$4:$M$4&lt;Parametros!$C$6)*Financiero!$F$7:$M$7)+SUMPRODUCT((Financiero!$F$4:$M$4=Parametros!$C$6)*Financiero!$F$6:$M$6)</f>
        <v>224656.16</v>
      </c>
      <c r="F69" s="45" t="n">
        <f aca="false">SUMPRODUCT((Financiero!$F$4:$M$4&lt;=Parametros!$C$6)*Financiero!$F$7:$M$7)+N(Escenarios!F16)</f>
        <v>224656.16</v>
      </c>
      <c r="G69" s="46" t="n">
        <f aca="false">SUMPRODUCT((Fisico!$F$4:$M$4&lt;=Parametros!$C$6)*Fisico!$F$5:$M$5)</f>
        <v>1</v>
      </c>
      <c r="H69" s="46" t="n">
        <f aca="false">SUMPRODUCT((Fisico!$F$4:$M$4&lt;Parametros!$C$6)*Fisico!$F$7:$M$7)+SUMPRODUCT((Fisico!$F$4:$M$4=Parametros!$C$6)*Fisico!$F$6:$M$6)</f>
        <v>0</v>
      </c>
      <c r="I69" s="46" t="n">
        <f aca="false">SUMPRODUCT((Fisico!$F$4:$M$4&lt;=Parametros!$C$6)*Fisico!$F$7:$M$7)+N(Escenarios!E16)</f>
        <v>0</v>
      </c>
      <c r="J69" s="47" t="n">
        <f aca="false">IF(G69=0,"N/A",I69/G69)</f>
        <v>0</v>
      </c>
      <c r="K69" s="47" t="str">
        <f aca="false">IF(H69=0,"N/A",I69/H69)</f>
        <v>N/A</v>
      </c>
      <c r="L69" s="45" t="n">
        <f aca="false">IF(C69="Sí",SUMIF($A$89:$A$93,A69,$H$89:$H$93),IF(J69="N/A",F69,J69*D69))</f>
        <v>0</v>
      </c>
      <c r="M69" s="45" t="n">
        <f aca="false">IF(C69="Sí",SUMIF($A$89:$A$93,A69,$I$89:$I$93),IF(K69="N/A",F69,K69*E69))</f>
        <v>224656.16</v>
      </c>
    </row>
    <row r="70" customFormat="false" ht="15" hidden="false" customHeight="false" outlineLevel="0" collapsed="false">
      <c r="A70" s="30" t="n">
        <v>2</v>
      </c>
      <c r="B70" s="44" t="str">
        <f aca="false">Fisico!B8</f>
        <v>P1.2. Sistema de información delictual fortalecidos y en funcionamiento</v>
      </c>
      <c r="C70" s="44" t="str">
        <f aca="false">Fisico!D8</f>
        <v>No</v>
      </c>
      <c r="D70" s="45" t="n">
        <f aca="false">SUMPRODUCT((Financiero!$F$4:$M$4&lt;=Parametros!$C$6)*Financiero!$F$8:$M$8)</f>
        <v>3104457</v>
      </c>
      <c r="E70" s="45" t="n">
        <f aca="false">SUMPRODUCT((Financiero!$F$4:$M$4&lt;Parametros!$C$6)*Financiero!$F$10:$M$10)+SUMPRODUCT((Financiero!$F$4:$M$4=Parametros!$C$6)*Financiero!$F$9:$M$9)</f>
        <v>23360</v>
      </c>
      <c r="F70" s="45" t="n">
        <f aca="false">SUMPRODUCT((Financiero!$F$4:$M$4&lt;=Parametros!$C$6)*Financiero!$F$10:$M$10)+N(Escenarios!F17)</f>
        <v>23360</v>
      </c>
      <c r="G70" s="46" t="n">
        <f aca="false">SUMPRODUCT((Fisico!$F$4:$M$4&lt;=Parametros!$C$6)*Fisico!$F$8:$M$8)</f>
        <v>1</v>
      </c>
      <c r="H70" s="46" t="n">
        <f aca="false">SUMPRODUCT((Fisico!$F$4:$M$4&lt;Parametros!$C$6)*Fisico!$F$10:$M$10)+SUMPRODUCT((Fisico!$F$4:$M$4=Parametros!$C$6)*Fisico!$F$9:$M$9)</f>
        <v>0</v>
      </c>
      <c r="I70" s="46" t="n">
        <f aca="false">SUMPRODUCT((Fisico!$F$4:$M$4&lt;=Parametros!$C$6)*Fisico!$F$10:$M$10)+N(Escenarios!E17)</f>
        <v>0</v>
      </c>
      <c r="J70" s="47" t="n">
        <f aca="false">IF(G70=0,"N/A",I70/G70)</f>
        <v>0</v>
      </c>
      <c r="K70" s="47" t="str">
        <f aca="false">IF(H70=0,"N/A",I70/H70)</f>
        <v>N/A</v>
      </c>
      <c r="L70" s="45" t="n">
        <f aca="false">IF(C70="Sí",SUMIF($A$89:$A$93,A70,$H$89:$H$93),IF(J70="N/A",F70,J70*D70))</f>
        <v>0</v>
      </c>
      <c r="M70" s="45" t="n">
        <f aca="false">IF(C70="Sí",SUMIF($A$89:$A$93,A70,$I$89:$I$93),IF(K70="N/A",F70,K70*E70))</f>
        <v>23360</v>
      </c>
    </row>
    <row r="71" customFormat="false" ht="15" hidden="false" customHeight="false" outlineLevel="0" collapsed="false">
      <c r="A71" s="30" t="n">
        <v>3</v>
      </c>
      <c r="B71" s="44" t="str">
        <f aca="false">Fisico!B11</f>
        <v>P.1.3. Departamentos de la FP capacitados en análisis criminal y monitoreo de dinámicas delictivas</v>
      </c>
      <c r="C71" s="44" t="str">
        <f aca="false">Fisico!D11</f>
        <v>No</v>
      </c>
      <c r="D71" s="45" t="n">
        <f aca="false">SUMPRODUCT((Financiero!$F$4:$M$4&lt;=Parametros!$C$6)*Financiero!$F$11:$M$11)</f>
        <v>300000</v>
      </c>
      <c r="E71" s="45" t="n">
        <f aca="false">SUMPRODUCT((Financiero!$F$4:$M$4&lt;Parametros!$C$6)*Financiero!$F$13:$M$13)+SUMPRODUCT((Financiero!$F$4:$M$4=Parametros!$C$6)*Financiero!$F$12:$M$12)</f>
        <v>140489.6</v>
      </c>
      <c r="F71" s="45" t="n">
        <f aca="false">SUMPRODUCT((Financiero!$F$4:$M$4&lt;=Parametros!$C$6)*Financiero!$F$13:$M$13)+N(Escenarios!F18)</f>
        <v>140489.6</v>
      </c>
      <c r="G71" s="46" t="n">
        <f aca="false">SUMPRODUCT((Fisico!$F$4:$M$4&lt;=Parametros!$C$6)*Fisico!$F$11:$M$11)</f>
        <v>16</v>
      </c>
      <c r="H71" s="46" t="n">
        <f aca="false">SUMPRODUCT((Fisico!$F$4:$M$4&lt;Parametros!$C$6)*Fisico!$F$13:$M$13)+SUMPRODUCT((Fisico!$F$4:$M$4=Parametros!$C$6)*Fisico!$F$12:$M$12)</f>
        <v>29</v>
      </c>
      <c r="I71" s="46" t="n">
        <f aca="false">SUMPRODUCT((Fisico!$F$4:$M$4&lt;=Parametros!$C$6)*Fisico!$F$13:$M$13)+N(Escenarios!E18)</f>
        <v>29</v>
      </c>
      <c r="J71" s="47" t="n">
        <f aca="false">IF(G71=0,"N/A",I71/G71)</f>
        <v>1.8125</v>
      </c>
      <c r="K71" s="47" t="n">
        <f aca="false">IF(H71=0,"N/A",I71/H71)</f>
        <v>1</v>
      </c>
      <c r="L71" s="45" t="n">
        <f aca="false">IF(C71="Sí",SUMIF($A$89:$A$93,A71,$H$89:$H$93),IF(J71="N/A",F71,J71*D71))</f>
        <v>543750</v>
      </c>
      <c r="M71" s="45" t="n">
        <f aca="false">IF(C71="Sí",SUMIF($A$89:$A$93,A71,$I$89:$I$93),IF(K71="N/A",F71,K71*E71))</f>
        <v>140489.6</v>
      </c>
    </row>
    <row r="72" customFormat="false" ht="15" hidden="false" customHeight="false" outlineLevel="0" collapsed="false">
      <c r="A72" s="30" t="n">
        <v>4</v>
      </c>
      <c r="B72" s="44" t="str">
        <f aca="false">Fisico!B14</f>
        <v>P.1.4. Estrategias policiales basadas en evidencia diseñadas e implementadas</v>
      </c>
      <c r="C72" s="44" t="str">
        <f aca="false">Fisico!D14</f>
        <v>No</v>
      </c>
      <c r="D72" s="45" t="n">
        <f aca="false">SUMPRODUCT((Financiero!$F$4:$M$4&lt;=Parametros!$C$6)*Financiero!$F$14:$M$14)</f>
        <v>1603001</v>
      </c>
      <c r="E72" s="45" t="n">
        <f aca="false">SUMPRODUCT((Financiero!$F$4:$M$4&lt;Parametros!$C$6)*Financiero!$F$16:$M$16)+SUMPRODUCT((Financiero!$F$4:$M$4=Parametros!$C$6)*Financiero!$F$15:$M$15)</f>
        <v>1399764.24</v>
      </c>
      <c r="F72" s="45" t="n">
        <f aca="false">SUMPRODUCT((Financiero!$F$4:$M$4&lt;=Parametros!$C$6)*Financiero!$F$16:$M$16)+N(Escenarios!F19)</f>
        <v>835473.63</v>
      </c>
      <c r="G72" s="46" t="n">
        <f aca="false">SUMPRODUCT((Fisico!$F$4:$M$4&lt;=Parametros!$C$6)*Fisico!$F$14:$M$14)</f>
        <v>1</v>
      </c>
      <c r="H72" s="46" t="n">
        <f aca="false">SUMPRODUCT((Fisico!$F$4:$M$4&lt;Parametros!$C$6)*Fisico!$F$16:$M$16)+SUMPRODUCT((Fisico!$F$4:$M$4=Parametros!$C$6)*Fisico!$F$15:$M$15)</f>
        <v>1</v>
      </c>
      <c r="I72" s="46" t="n">
        <f aca="false">SUMPRODUCT((Fisico!$F$4:$M$4&lt;=Parametros!$C$6)*Fisico!$F$16:$M$16)+N(Escenarios!E19)</f>
        <v>0</v>
      </c>
      <c r="J72" s="47" t="n">
        <f aca="false">IF(G72=0,"N/A",I72/G72)</f>
        <v>0</v>
      </c>
      <c r="K72" s="47" t="n">
        <f aca="false">IF(H72=0,"N/A",I72/H72)</f>
        <v>0</v>
      </c>
      <c r="L72" s="45" t="n">
        <f aca="false">IF(C72="Sí",SUMIF($A$89:$A$93,A72,$H$89:$H$93),IF(J72="N/A",F72,J72*D72))</f>
        <v>0</v>
      </c>
      <c r="M72" s="45" t="n">
        <f aca="false">IF(C72="Sí",SUMIF($A$89:$A$93,A72,$I$89:$I$93),IF(K72="N/A",F72,K72*E72))</f>
        <v>0</v>
      </c>
    </row>
    <row r="73" customFormat="false" ht="15" hidden="false" customHeight="false" outlineLevel="0" collapsed="false">
      <c r="A73" s="30" t="n">
        <v>5</v>
      </c>
      <c r="B73" s="44" t="str">
        <f aca="false">Fisico!B17</f>
        <v>P.1.5. Evaluación de impacto de estrategias policiales basadas en evidencia diseñada e implementada</v>
      </c>
      <c r="C73" s="44" t="str">
        <f aca="false">Fisico!D17</f>
        <v>No</v>
      </c>
      <c r="D73" s="45" t="n">
        <f aca="false">SUMPRODUCT((Financiero!$F$4:$M$4&lt;=Parametros!$C$6)*Financiero!$F$17:$M$17)</f>
        <v>150000</v>
      </c>
      <c r="E73" s="45" t="n">
        <f aca="false">SUMPRODUCT((Financiero!$F$4:$M$4&lt;Parametros!$C$6)*Financiero!$F$19:$M$19)+SUMPRODUCT((Financiero!$F$4:$M$4=Parametros!$C$6)*Financiero!$F$18:$M$18)</f>
        <v>130000</v>
      </c>
      <c r="F73" s="45" t="n">
        <f aca="false">SUMPRODUCT((Financiero!$F$4:$M$4&lt;=Parametros!$C$6)*Financiero!$F$19:$M$19)+N(Escenarios!F20)</f>
        <v>97637.5</v>
      </c>
      <c r="G73" s="46" t="n">
        <f aca="false">SUMPRODUCT((Fisico!$F$4:$M$4&lt;=Parametros!$C$6)*Fisico!$F$17:$M$17)</f>
        <v>1</v>
      </c>
      <c r="H73" s="46" t="n">
        <f aca="false">SUMPRODUCT((Fisico!$F$4:$M$4&lt;Parametros!$C$6)*Fisico!$F$19:$M$19)+SUMPRODUCT((Fisico!$F$4:$M$4=Parametros!$C$6)*Fisico!$F$18:$M$18)</f>
        <v>1</v>
      </c>
      <c r="I73" s="46" t="n">
        <f aca="false">SUMPRODUCT((Fisico!$F$4:$M$4&lt;=Parametros!$C$6)*Fisico!$F$19:$M$19)+N(Escenarios!E20)</f>
        <v>0</v>
      </c>
      <c r="J73" s="47" t="n">
        <f aca="false">IF(G73=0,"N/A",I73/G73)</f>
        <v>0</v>
      </c>
      <c r="K73" s="47" t="n">
        <f aca="false">IF(H73=0,"N/A",I73/H73)</f>
        <v>0</v>
      </c>
      <c r="L73" s="45" t="n">
        <f aca="false">IF(C73="Sí",SUMIF($A$89:$A$93,A73,$H$89:$H$93),IF(J73="N/A",F73,J73*D73))</f>
        <v>0</v>
      </c>
      <c r="M73" s="45" t="n">
        <f aca="false">IF(C73="Sí",SUMIF($A$89:$A$93,A73,$I$89:$I$93),IF(K73="N/A",F73,K73*E73))</f>
        <v>0</v>
      </c>
    </row>
    <row r="74" customFormat="false" ht="15" hidden="false" customHeight="false" outlineLevel="0" collapsed="false">
      <c r="A74" s="30" t="n">
        <v>6</v>
      </c>
      <c r="B74" s="44" t="str">
        <f aca="false">Fisico!B20</f>
        <v>P.1.6. Sistema de procesamiento de quejas ciudadanas y procesos disciplinarios, fortalecido</v>
      </c>
      <c r="C74" s="44" t="str">
        <f aca="false">Fisico!D20</f>
        <v>No</v>
      </c>
      <c r="D74" s="45" t="n">
        <f aca="false">SUMPRODUCT((Financiero!$F$4:$M$4&lt;=Parametros!$C$6)*Financiero!$F$20:$M$20)</f>
        <v>250000</v>
      </c>
      <c r="E74" s="45" t="n">
        <f aca="false">SUMPRODUCT((Financiero!$F$4:$M$4&lt;Parametros!$C$6)*Financiero!$F$22:$M$22)+SUMPRODUCT((Financiero!$F$4:$M$4=Parametros!$C$6)*Financiero!$F$21:$M$21)</f>
        <v>365000</v>
      </c>
      <c r="F74" s="45" t="n">
        <f aca="false">SUMPRODUCT((Financiero!$F$4:$M$4&lt;=Parametros!$C$6)*Financiero!$F$22:$M$22)+N(Escenarios!F21)</f>
        <v>277246.95</v>
      </c>
      <c r="G74" s="46" t="n">
        <f aca="false">SUMPRODUCT((Fisico!$F$4:$M$4&lt;=Parametros!$C$6)*Fisico!$F$20:$M$20)</f>
        <v>1</v>
      </c>
      <c r="H74" s="46" t="n">
        <f aca="false">SUMPRODUCT((Fisico!$F$4:$M$4&lt;Parametros!$C$6)*Fisico!$F$22:$M$22)+SUMPRODUCT((Fisico!$F$4:$M$4=Parametros!$C$6)*Fisico!$F$21:$M$21)</f>
        <v>1</v>
      </c>
      <c r="I74" s="46" t="n">
        <f aca="false">SUMPRODUCT((Fisico!$F$4:$M$4&lt;=Parametros!$C$6)*Fisico!$F$22:$M$22)+N(Escenarios!E21)</f>
        <v>0</v>
      </c>
      <c r="J74" s="47" t="n">
        <f aca="false">IF(G74=0,"N/A",I74/G74)</f>
        <v>0</v>
      </c>
      <c r="K74" s="47" t="n">
        <f aca="false">IF(H74=0,"N/A",I74/H74)</f>
        <v>0</v>
      </c>
      <c r="L74" s="45" t="n">
        <f aca="false">IF(C74="Sí",SUMIF($A$89:$A$93,A74,$H$89:$H$93),IF(J74="N/A",F74,J74*D74))</f>
        <v>0</v>
      </c>
      <c r="M74" s="45" t="n">
        <f aca="false">IF(C74="Sí",SUMIF($A$89:$A$93,A74,$I$89:$I$93),IF(K74="N/A",F74,K74*E74))</f>
        <v>0</v>
      </c>
    </row>
    <row r="75" customFormat="false" ht="15" hidden="false" customHeight="false" outlineLevel="0" collapsed="false">
      <c r="A75" s="30" t="n">
        <v>7</v>
      </c>
      <c r="B75" s="44" t="str">
        <f aca="false">Fisico!B23</f>
        <v>P.1.7. Delegaciones diseñadas, construida, equipadas y operando bajo el enfoque de policía comunitaria</v>
      </c>
      <c r="C75" s="44" t="str">
        <f aca="false">Fisico!D23</f>
        <v>Sí</v>
      </c>
      <c r="D75" s="45" t="n">
        <f aca="false">SUMPRODUCT((Financiero!$F$4:$M$4&lt;=Parametros!$C$6)*Financiero!$F$23:$M$23)</f>
        <v>56834531</v>
      </c>
      <c r="E75" s="45" t="n">
        <f aca="false">SUMPRODUCT((Financiero!$F$4:$M$4&lt;Parametros!$C$6)*Financiero!$F$25:$M$25)+SUMPRODUCT((Financiero!$F$4:$M$4=Parametros!$C$6)*Financiero!$F$24:$M$24)</f>
        <v>50172908.21</v>
      </c>
      <c r="F75" s="45" t="n">
        <f aca="false">SUMPRODUCT((Financiero!$F$4:$M$4&lt;=Parametros!$C$6)*Financiero!$F$25:$M$25)+N(Escenarios!F22)</f>
        <v>50172908.21</v>
      </c>
      <c r="G75" s="46" t="n">
        <f aca="false">SUMPRODUCT((Fisico!$F$4:$M$4&lt;=Parametros!$C$6)*Fisico!$F$23:$M$23)</f>
        <v>35</v>
      </c>
      <c r="H75" s="46" t="n">
        <f aca="false">SUMPRODUCT((Fisico!$F$4:$M$4&lt;Parametros!$C$6)*Fisico!$F$25:$M$25)+SUMPRODUCT((Fisico!$F$4:$M$4=Parametros!$C$6)*Fisico!$F$24:$M$24)</f>
        <v>11</v>
      </c>
      <c r="I75" s="46" t="n">
        <f aca="false">SUMPRODUCT((Fisico!$F$4:$M$4&lt;=Parametros!$C$6)*Fisico!$F$25:$M$25)+N(Escenarios!E22)</f>
        <v>15</v>
      </c>
      <c r="J75" s="47" t="n">
        <f aca="false">IF(G75=0,"N/A",I75/G75)</f>
        <v>0.428571428571429</v>
      </c>
      <c r="K75" s="47" t="n">
        <f aca="false">IF(H75=0,"N/A",I75/H75)</f>
        <v>1.36363636363636</v>
      </c>
      <c r="L75" s="45" t="n">
        <f aca="false">IF(C75="Sí",SUMIF($A$89:$A$93,A75,$H$89:$H$93),IF(J75="N/A",F75,J75*D75))</f>
        <v>25187370.4285714</v>
      </c>
      <c r="M75" s="45" t="n">
        <f aca="false">IF(C75="Sí",SUMIF($A$89:$A$93,A75,$I$89:$I$93),IF(K75="N/A",F75,K75*E75))</f>
        <v>50717526.4705882</v>
      </c>
    </row>
    <row r="76" customFormat="false" ht="15" hidden="false" customHeight="false" outlineLevel="0" collapsed="false">
      <c r="A76" s="30" t="n">
        <v>8</v>
      </c>
      <c r="B76" s="44" t="str">
        <f aca="false">Fisico!B26</f>
        <v>Centro de Mando y Control Policial (CMCP) diseñado, construido, equipado y en funcionamiento</v>
      </c>
      <c r="C76" s="44" t="str">
        <f aca="false">Fisico!D26</f>
        <v>No</v>
      </c>
      <c r="D76" s="45" t="n">
        <f aca="false">SUMPRODUCT((Financiero!$F$4:$M$4&lt;=Parametros!$C$6)*Financiero!$F$26:$M$26)</f>
        <v>0</v>
      </c>
      <c r="E76" s="45" t="n">
        <f aca="false">SUMPRODUCT((Financiero!$F$4:$M$4&lt;Parametros!$C$6)*Financiero!$F$28:$M$28)+SUMPRODUCT((Financiero!$F$4:$M$4=Parametros!$C$6)*Financiero!$F$27:$M$27)</f>
        <v>3162756.25</v>
      </c>
      <c r="F76" s="45" t="n">
        <f aca="false">SUMPRODUCT((Financiero!$F$4:$M$4&lt;=Parametros!$C$6)*Financiero!$F$28:$M$28)+N(Escenarios!F23)</f>
        <v>2499243.73</v>
      </c>
      <c r="G76" s="46" t="n">
        <f aca="false">SUMPRODUCT((Fisico!$F$4:$M$4&lt;=Parametros!$C$6)*Fisico!$F$26:$M$26)</f>
        <v>0</v>
      </c>
      <c r="H76" s="46" t="n">
        <f aca="false">SUMPRODUCT((Fisico!$F$4:$M$4&lt;Parametros!$C$6)*Fisico!$F$28:$M$28)+SUMPRODUCT((Fisico!$F$4:$M$4=Parametros!$C$6)*Fisico!$F$27:$M$27)</f>
        <v>0</v>
      </c>
      <c r="I76" s="46" t="n">
        <f aca="false">SUMPRODUCT((Fisico!$F$4:$M$4&lt;=Parametros!$C$6)*Fisico!$F$28:$M$28)+N(Escenarios!E23)</f>
        <v>0</v>
      </c>
      <c r="J76" s="47" t="str">
        <f aca="false">IF(G76=0,"N/A",I76/G76)</f>
        <v>N/A</v>
      </c>
      <c r="K76" s="47" t="str">
        <f aca="false">IF(H76=0,"N/A",I76/H76)</f>
        <v>N/A</v>
      </c>
      <c r="L76" s="45" t="n">
        <f aca="false">IF(C76="Sí",SUMIF($A$89:$A$93,A76,$H$89:$H$93),IF(J76="N/A",F76,J76*D76))</f>
        <v>2499243.73</v>
      </c>
      <c r="M76" s="45" t="n">
        <f aca="false">IF(C76="Sí",SUMIF($A$89:$A$93,A76,$I$89:$I$93),IF(K76="N/A",F76,K76*E76))</f>
        <v>2499243.73</v>
      </c>
    </row>
    <row r="77" customFormat="false" ht="15" hidden="false" customHeight="false" outlineLevel="0" collapsed="false">
      <c r="A77" s="30" t="n">
        <v>9</v>
      </c>
      <c r="B77" s="44" t="str">
        <f aca="false">Fisico!B29</f>
        <v>P.2.1. Modelo de atención de los CCP actualizado, fortalecido, y en funcionamiento en los CCPs de la red</v>
      </c>
      <c r="C77" s="44" t="str">
        <f aca="false">Fisico!D29</f>
        <v>No</v>
      </c>
      <c r="D77" s="45" t="n">
        <f aca="false">SUMPRODUCT((Financiero!$F$4:$M$4&lt;=Parametros!$C$6)*Financiero!$F$29:$M$29)</f>
        <v>300000</v>
      </c>
      <c r="E77" s="45" t="n">
        <f aca="false">SUMPRODUCT((Financiero!$F$4:$M$4&lt;Parametros!$C$6)*Financiero!$F$31:$M$31)+SUMPRODUCT((Financiero!$F$4:$M$4=Parametros!$C$6)*Financiero!$F$30:$M$30)</f>
        <v>353000</v>
      </c>
      <c r="F77" s="45" t="n">
        <f aca="false">SUMPRODUCT((Financiero!$F$4:$M$4&lt;=Parametros!$C$6)*Financiero!$F$31:$M$31)+N(Escenarios!F24)</f>
        <v>179915.1</v>
      </c>
      <c r="G77" s="46" t="n">
        <f aca="false">SUMPRODUCT((Fisico!$F$4:$M$4&lt;=Parametros!$C$6)*Fisico!$F$29:$M$29)</f>
        <v>1</v>
      </c>
      <c r="H77" s="46" t="n">
        <f aca="false">SUMPRODUCT((Fisico!$F$4:$M$4&lt;Parametros!$C$6)*Fisico!$F$31:$M$31)+SUMPRODUCT((Fisico!$F$4:$M$4=Parametros!$C$6)*Fisico!$F$30:$M$30)</f>
        <v>1</v>
      </c>
      <c r="I77" s="46" t="n">
        <f aca="false">SUMPRODUCT((Fisico!$F$4:$M$4&lt;=Parametros!$C$6)*Fisico!$F$31:$M$31)+N(Escenarios!E24)</f>
        <v>0</v>
      </c>
      <c r="J77" s="47" t="n">
        <f aca="false">IF(G77=0,"N/A",I77/G77)</f>
        <v>0</v>
      </c>
      <c r="K77" s="47" t="n">
        <f aca="false">IF(H77=0,"N/A",I77/H77)</f>
        <v>0</v>
      </c>
      <c r="L77" s="45" t="n">
        <f aca="false">IF(C77="Sí",SUMIF($A$89:$A$93,A77,$H$89:$H$93),IF(J77="N/A",F77,J77*D77))</f>
        <v>0</v>
      </c>
      <c r="M77" s="45" t="n">
        <f aca="false">IF(C77="Sí",SUMIF($A$89:$A$93,A77,$I$89:$I$93),IF(K77="N/A",F77,K77*E77))</f>
        <v>0</v>
      </c>
    </row>
    <row r="78" customFormat="false" ht="15" hidden="false" customHeight="false" outlineLevel="0" collapsed="false">
      <c r="A78" s="30" t="n">
        <v>10</v>
      </c>
      <c r="B78" s="44" t="str">
        <f aca="false">Fisico!B32</f>
        <v>P.2.2. Modelo de gestión de los CCP homologado, fortalecido y en funcionamiento en los CCPs de la red</v>
      </c>
      <c r="C78" s="44" t="str">
        <f aca="false">Fisico!D32</f>
        <v>No</v>
      </c>
      <c r="D78" s="45" t="n">
        <f aca="false">SUMPRODUCT((Financiero!$F$4:$M$4&lt;=Parametros!$C$6)*Financiero!$F$32:$M$32)</f>
        <v>145000</v>
      </c>
      <c r="E78" s="45" t="n">
        <f aca="false">SUMPRODUCT((Financiero!$F$4:$M$4&lt;Parametros!$C$6)*Financiero!$F$34:$M$34)+SUMPRODUCT((Financiero!$F$4:$M$4=Parametros!$C$6)*Financiero!$F$33:$M$33)</f>
        <v>141855</v>
      </c>
      <c r="F78" s="45" t="n">
        <f aca="false">SUMPRODUCT((Financiero!$F$4:$M$4&lt;=Parametros!$C$6)*Financiero!$F$34:$M$34)+N(Escenarios!F25)</f>
        <v>0</v>
      </c>
      <c r="G78" s="46" t="n">
        <f aca="false">SUMPRODUCT((Fisico!$F$4:$M$4&lt;=Parametros!$C$6)*Fisico!$F$32:$M$32)</f>
        <v>1</v>
      </c>
      <c r="H78" s="46" t="n">
        <f aca="false">SUMPRODUCT((Fisico!$F$4:$M$4&lt;Parametros!$C$6)*Fisico!$F$34:$M$34)+SUMPRODUCT((Fisico!$F$4:$M$4=Parametros!$C$6)*Fisico!$F$33:$M$33)</f>
        <v>1</v>
      </c>
      <c r="I78" s="46" t="n">
        <f aca="false">SUMPRODUCT((Fisico!$F$4:$M$4&lt;=Parametros!$C$6)*Fisico!$F$34:$M$34)+N(Escenarios!E25)</f>
        <v>0</v>
      </c>
      <c r="J78" s="47" t="n">
        <f aca="false">IF(G78=0,"N/A",I78/G78)</f>
        <v>0</v>
      </c>
      <c r="K78" s="47" t="n">
        <f aca="false">IF(H78=0,"N/A",I78/H78)</f>
        <v>0</v>
      </c>
      <c r="L78" s="45" t="n">
        <f aca="false">IF(C78="Sí",SUMIF($A$89:$A$93,A78,$H$89:$H$93),IF(J78="N/A",F78,J78*D78))</f>
        <v>0</v>
      </c>
      <c r="M78" s="45" t="n">
        <f aca="false">IF(C78="Sí",SUMIF($A$89:$A$93,A78,$I$89:$I$93),IF(K78="N/A",F78,K78*E78))</f>
        <v>0</v>
      </c>
    </row>
    <row r="79" customFormat="false" ht="15" hidden="false" customHeight="false" outlineLevel="0" collapsed="false">
      <c r="A79" s="30" t="n">
        <v>11</v>
      </c>
      <c r="B79" s="44" t="str">
        <f aca="false">Fisico!B35</f>
        <v>P.2.3. Municipalidades y grupos de sociedad civil capacitados y utilizando las nuevas competencias adquiridas en prevención de violencia</v>
      </c>
      <c r="C79" s="44" t="str">
        <f aca="false">Fisico!D35</f>
        <v>No</v>
      </c>
      <c r="D79" s="45" t="n">
        <f aca="false">SUMPRODUCT((Financiero!$F$4:$M$4&lt;=Parametros!$C$6)*Financiero!$F$35:$M$35)</f>
        <v>97500</v>
      </c>
      <c r="E79" s="45" t="n">
        <f aca="false">SUMPRODUCT((Financiero!$F$4:$M$4&lt;Parametros!$C$6)*Financiero!$F$37:$M$37)+SUMPRODUCT((Financiero!$F$4:$M$4=Parametros!$C$6)*Financiero!$F$36:$M$36)</f>
        <v>97495</v>
      </c>
      <c r="F79" s="45" t="n">
        <f aca="false">SUMPRODUCT((Financiero!$F$4:$M$4&lt;=Parametros!$C$6)*Financiero!$F$37:$M$37)+N(Escenarios!F26)</f>
        <v>81046.84</v>
      </c>
      <c r="G79" s="46" t="n">
        <f aca="false">SUMPRODUCT((Fisico!$F$4:$M$4&lt;=Parametros!$C$6)*Fisico!$F$35:$M$35)</f>
        <v>15</v>
      </c>
      <c r="H79" s="46" t="n">
        <f aca="false">SUMPRODUCT((Fisico!$F$4:$M$4&lt;Parametros!$C$6)*Fisico!$F$37:$M$37)+SUMPRODUCT((Fisico!$F$4:$M$4=Parametros!$C$6)*Fisico!$F$36:$M$36)</f>
        <v>15</v>
      </c>
      <c r="I79" s="46" t="n">
        <f aca="false">SUMPRODUCT((Fisico!$F$4:$M$4&lt;=Parametros!$C$6)*Fisico!$F$37:$M$37)+N(Escenarios!E26)</f>
        <v>15</v>
      </c>
      <c r="J79" s="47" t="n">
        <f aca="false">IF(G79=0,"N/A",I79/G79)</f>
        <v>1</v>
      </c>
      <c r="K79" s="47" t="n">
        <f aca="false">IF(H79=0,"N/A",I79/H79)</f>
        <v>1</v>
      </c>
      <c r="L79" s="45" t="n">
        <f aca="false">IF(C79="Sí",SUMIF($A$89:$A$93,A79,$H$89:$H$93),IF(J79="N/A",F79,J79*D79))</f>
        <v>97500</v>
      </c>
      <c r="M79" s="45" t="n">
        <f aca="false">IF(C79="Sí",SUMIF($A$89:$A$93,A79,$I$89:$I$93),IF(K79="N/A",F79,K79*E79))</f>
        <v>97495</v>
      </c>
    </row>
    <row r="80" customFormat="false" ht="15" hidden="false" customHeight="false" outlineLevel="0" collapsed="false">
      <c r="A80" s="30" t="n">
        <v>12</v>
      </c>
      <c r="B80" s="44" t="str">
        <f aca="false">Fisico!B38</f>
        <v>P.2.4. Estrategia de comunicación social de los CCP, diseñada e implementada</v>
      </c>
      <c r="C80" s="44" t="str">
        <f aca="false">Fisico!D38</f>
        <v>No</v>
      </c>
      <c r="D80" s="45" t="n">
        <f aca="false">SUMPRODUCT((Financiero!$F$4:$M$4&lt;=Parametros!$C$6)*Financiero!$F$38:$M$38)</f>
        <v>75000</v>
      </c>
      <c r="E80" s="45" t="n">
        <f aca="false">SUMPRODUCT((Financiero!$F$4:$M$4&lt;Parametros!$C$6)*Financiero!$F$40:$M$40)+SUMPRODUCT((Financiero!$F$4:$M$4=Parametros!$C$6)*Financiero!$F$39:$M$39)</f>
        <v>101393</v>
      </c>
      <c r="F80" s="45" t="n">
        <f aca="false">SUMPRODUCT((Financiero!$F$4:$M$4&lt;=Parametros!$C$6)*Financiero!$F$40:$M$40)+N(Escenarios!F27)</f>
        <v>46180</v>
      </c>
      <c r="G80" s="46" t="n">
        <f aca="false">SUMPRODUCT((Fisico!$F$4:$M$4&lt;=Parametros!$C$6)*Fisico!$F$38:$M$38)</f>
        <v>1</v>
      </c>
      <c r="H80" s="46" t="n">
        <f aca="false">SUMPRODUCT((Fisico!$F$4:$M$4&lt;Parametros!$C$6)*Fisico!$F$40:$M$40)+SUMPRODUCT((Fisico!$F$4:$M$4=Parametros!$C$6)*Fisico!$F$39:$M$39)</f>
        <v>1</v>
      </c>
      <c r="I80" s="46" t="n">
        <f aca="false">SUMPRODUCT((Fisico!$F$4:$M$4&lt;=Parametros!$C$6)*Fisico!$F$40:$M$40)+N(Escenarios!E27)</f>
        <v>1</v>
      </c>
      <c r="J80" s="47" t="n">
        <f aca="false">IF(G80=0,"N/A",I80/G80)</f>
        <v>1</v>
      </c>
      <c r="K80" s="47" t="n">
        <f aca="false">IF(H80=0,"N/A",I80/H80)</f>
        <v>1</v>
      </c>
      <c r="L80" s="45" t="n">
        <f aca="false">IF(C80="Sí",SUMIF($A$89:$A$93,A80,$H$89:$H$93),IF(J80="N/A",F80,J80*D80))</f>
        <v>75000</v>
      </c>
      <c r="M80" s="45" t="n">
        <f aca="false">IF(C80="Sí",SUMIF($A$89:$A$93,A80,$I$89:$I$93),IF(K80="N/A",F80,K80*E80))</f>
        <v>101393</v>
      </c>
    </row>
    <row r="81" customFormat="false" ht="15" hidden="false" customHeight="false" outlineLevel="0" collapsed="false">
      <c r="A81" s="30" t="n">
        <v>13</v>
      </c>
      <c r="B81" s="44" t="str">
        <f aca="false">Fisico!B41</f>
        <v>P.2.5. Sistema de información integrado de los CCP, desarrollado e implementado</v>
      </c>
      <c r="C81" s="44" t="str">
        <f aca="false">Fisico!D41</f>
        <v>No</v>
      </c>
      <c r="D81" s="45" t="n">
        <f aca="false">SUMPRODUCT((Financiero!$F$4:$M$4&lt;=Parametros!$C$6)*Financiero!$F$41:$M$41)</f>
        <v>87500</v>
      </c>
      <c r="E81" s="45" t="n">
        <f aca="false">SUMPRODUCT((Financiero!$F$4:$M$4&lt;Parametros!$C$6)*Financiero!$F$43:$M$43)+SUMPRODUCT((Financiero!$F$4:$M$4=Parametros!$C$6)*Financiero!$F$42:$M$42)</f>
        <v>109170</v>
      </c>
      <c r="F81" s="45" t="n">
        <f aca="false">SUMPRODUCT((Financiero!$F$4:$M$4&lt;=Parametros!$C$6)*Financiero!$F$43:$M$43)+N(Escenarios!F28)</f>
        <v>99715</v>
      </c>
      <c r="G81" s="46" t="n">
        <f aca="false">SUMPRODUCT((Fisico!$F$4:$M$4&lt;=Parametros!$C$6)*Fisico!$F$41:$M$41)</f>
        <v>1</v>
      </c>
      <c r="H81" s="46" t="n">
        <f aca="false">SUMPRODUCT((Fisico!$F$4:$M$4&lt;Parametros!$C$6)*Fisico!$F$43:$M$43)+SUMPRODUCT((Fisico!$F$4:$M$4=Parametros!$C$6)*Fisico!$F$42:$M$42)</f>
        <v>1</v>
      </c>
      <c r="I81" s="46" t="n">
        <f aca="false">SUMPRODUCT((Fisico!$F$4:$M$4&lt;=Parametros!$C$6)*Fisico!$F$43:$M$43)+N(Escenarios!E28)</f>
        <v>0</v>
      </c>
      <c r="J81" s="47" t="n">
        <f aca="false">IF(G81=0,"N/A",I81/G81)</f>
        <v>0</v>
      </c>
      <c r="K81" s="47" t="n">
        <f aca="false">IF(H81=0,"N/A",I81/H81)</f>
        <v>0</v>
      </c>
      <c r="L81" s="45" t="n">
        <f aca="false">IF(C81="Sí",SUMIF($A$89:$A$93,A81,$H$89:$H$93),IF(J81="N/A",F81,J81*D81))</f>
        <v>0</v>
      </c>
      <c r="M81" s="45" t="n">
        <f aca="false">IF(C81="Sí",SUMIF($A$89:$A$93,A81,$I$89:$I$93),IF(K81="N/A",F81,K81*E81))</f>
        <v>0</v>
      </c>
    </row>
    <row r="82" customFormat="false" ht="15" hidden="false" customHeight="false" outlineLevel="0" collapsed="false">
      <c r="A82" s="30" t="n">
        <v>14</v>
      </c>
      <c r="B82" s="44" t="str">
        <f aca="false">Fisico!B44</f>
        <v>P.2.6. Evaluación de impacto de los CCP diseñada e implementada</v>
      </c>
      <c r="C82" s="44" t="str">
        <f aca="false">Fisico!D44</f>
        <v>No</v>
      </c>
      <c r="D82" s="45" t="n">
        <f aca="false">SUMPRODUCT((Financiero!$F$4:$M$4&lt;=Parametros!$C$6)*Financiero!$F$44:$M$44)</f>
        <v>200000</v>
      </c>
      <c r="E82" s="45" t="n">
        <f aca="false">SUMPRODUCT((Financiero!$F$4:$M$4&lt;Parametros!$C$6)*Financiero!$F$46:$M$46)+SUMPRODUCT((Financiero!$F$4:$M$4=Parametros!$C$6)*Financiero!$F$45:$M$45)</f>
        <v>102087</v>
      </c>
      <c r="F82" s="45" t="n">
        <f aca="false">SUMPRODUCT((Financiero!$F$4:$M$4&lt;=Parametros!$C$6)*Financiero!$F$46:$M$46)+N(Escenarios!F29)</f>
        <v>13887.5</v>
      </c>
      <c r="G82" s="46" t="n">
        <f aca="false">SUMPRODUCT((Fisico!$F$4:$M$4&lt;=Parametros!$C$6)*Fisico!$F$44:$M$44)</f>
        <v>1</v>
      </c>
      <c r="H82" s="46" t="n">
        <f aca="false">SUMPRODUCT((Fisico!$F$4:$M$4&lt;Parametros!$C$6)*Fisico!$F$46:$M$46)+SUMPRODUCT((Fisico!$F$4:$M$4=Parametros!$C$6)*Fisico!$F$45:$M$45)</f>
        <v>1</v>
      </c>
      <c r="I82" s="46" t="n">
        <f aca="false">SUMPRODUCT((Fisico!$F$4:$M$4&lt;=Parametros!$C$6)*Fisico!$F$46:$M$46)+N(Escenarios!E29)</f>
        <v>0</v>
      </c>
      <c r="J82" s="47" t="n">
        <f aca="false">IF(G82=0,"N/A",I82/G82)</f>
        <v>0</v>
      </c>
      <c r="K82" s="47" t="n">
        <f aca="false">IF(H82=0,"N/A",I82/H82)</f>
        <v>0</v>
      </c>
      <c r="L82" s="45" t="n">
        <f aca="false">IF(C82="Sí",SUMIF($A$89:$A$93,A82,$H$89:$H$93),IF(J82="N/A",F82,J82*D82))</f>
        <v>0</v>
      </c>
      <c r="M82" s="45" t="n">
        <f aca="false">IF(C82="Sí",SUMIF($A$89:$A$93,A82,$I$89:$I$93),IF(K82="N/A",F82,K82*E82))</f>
        <v>0</v>
      </c>
    </row>
    <row r="83" customFormat="false" ht="15" hidden="false" customHeight="false" outlineLevel="0" collapsed="false">
      <c r="A83" s="30" t="n">
        <v>15</v>
      </c>
      <c r="B83" s="44" t="str">
        <f aca="false">Fisico!B47</f>
        <v>P.2.7. CCP diseñados, construidos, equipados y en funcionamiento</v>
      </c>
      <c r="C83" s="44" t="str">
        <f aca="false">Fisico!D47</f>
        <v>Sí</v>
      </c>
      <c r="D83" s="45" t="n">
        <f aca="false">SUMPRODUCT((Financiero!$F$4:$M$4&lt;=Parametros!$C$6)*Financiero!$F$47:$M$47)</f>
        <v>31595000</v>
      </c>
      <c r="E83" s="45" t="n">
        <f aca="false">SUMPRODUCT((Financiero!$F$4:$M$4&lt;Parametros!$C$6)*Financiero!$F$49:$M$49)+SUMPRODUCT((Financiero!$F$4:$M$4=Parametros!$C$6)*Financiero!$F$48:$M$48)</f>
        <v>27741937.04</v>
      </c>
      <c r="F83" s="45" t="n">
        <f aca="false">SUMPRODUCT((Financiero!$F$4:$M$4&lt;=Parametros!$C$6)*Financiero!$F$49:$M$49)+N(Escenarios!F30)</f>
        <v>22823823.5</v>
      </c>
      <c r="G83" s="46" t="n">
        <f aca="false">SUMPRODUCT((Fisico!$F$4:$M$4&lt;=Parametros!$C$6)*Fisico!$F$47:$M$47)</f>
        <v>8</v>
      </c>
      <c r="H83" s="46" t="n">
        <f aca="false">SUMPRODUCT((Fisico!$F$4:$M$4&lt;Parametros!$C$6)*Fisico!$F$49:$M$49)+SUMPRODUCT((Fisico!$F$4:$M$4=Parametros!$C$6)*Fisico!$F$48:$M$48)</f>
        <v>4</v>
      </c>
      <c r="I83" s="46" t="n">
        <f aca="false">SUMPRODUCT((Fisico!$F$4:$M$4&lt;=Parametros!$C$6)*Fisico!$F$49:$M$49)+N(Escenarios!E30)</f>
        <v>4</v>
      </c>
      <c r="J83" s="47" t="n">
        <f aca="false">IF(G83=0,"N/A",I83/G83)</f>
        <v>0.5</v>
      </c>
      <c r="K83" s="47" t="n">
        <f aca="false">IF(H83=0,"N/A",I83/H83)</f>
        <v>1</v>
      </c>
      <c r="L83" s="45" t="n">
        <f aca="false">IF(C83="Sí",SUMIF($A$89:$A$93,A83,$H$89:$H$93),IF(J83="N/A",F83,J83*D83))</f>
        <v>17312500</v>
      </c>
      <c r="M83" s="45" t="n">
        <f aca="false">IF(C83="Sí",SUMIF($A$89:$A$93,A83,$I$89:$I$93),IF(K83="N/A",F83,K83*E83))</f>
        <v>17312500</v>
      </c>
    </row>
    <row r="84" customFormat="false" ht="15" hidden="false" customHeight="false" outlineLevel="0" collapsed="false">
      <c r="B84" s="19" t="s">
        <v>175</v>
      </c>
      <c r="D84" s="48" t="n">
        <f aca="false">IF(SUM(D69:D83)=0,F84,SUM(D69:D83))</f>
        <v>95500000</v>
      </c>
      <c r="E84" s="48" t="n">
        <f aca="false">IF(SUM(E69:E83)=0,F84,SUM(E69:E83))</f>
        <v>84265871.5</v>
      </c>
      <c r="F84" s="48" t="n">
        <f aca="false">SUM(F69:F83)</f>
        <v>77515583.72</v>
      </c>
      <c r="L84" s="48" t="n">
        <f aca="false">IF(SUM(D69:D83)=0,F84,SUM(L69:L83))</f>
        <v>45715364.1585714</v>
      </c>
      <c r="M84" s="48" t="n">
        <f aca="false">IF(SUM(E69:E83)=0,F84,SUM(M69:M83))</f>
        <v>71116663.9605883</v>
      </c>
    </row>
    <row r="88" customFormat="false" ht="35.05" hidden="false" customHeight="false" outlineLevel="0" collapsed="false">
      <c r="A88" s="7" t="s">
        <v>79</v>
      </c>
      <c r="B88" s="7" t="s">
        <v>80</v>
      </c>
      <c r="C88" s="7" t="s">
        <v>176</v>
      </c>
      <c r="D88" s="7" t="s">
        <v>177</v>
      </c>
      <c r="E88" s="7" t="s">
        <v>178</v>
      </c>
      <c r="F88" s="7" t="s">
        <v>179</v>
      </c>
      <c r="G88" s="7" t="s">
        <v>180</v>
      </c>
      <c r="H88" s="7" t="s">
        <v>181</v>
      </c>
      <c r="I88" s="7" t="s">
        <v>182</v>
      </c>
    </row>
    <row r="89" customFormat="false" ht="15" hidden="false" customHeight="false" outlineLevel="0" collapsed="false">
      <c r="A89" s="34" t="n">
        <f aca="false">Hitos!A5</f>
        <v>7</v>
      </c>
      <c r="B89" s="44" t="str">
        <f aca="false">Hitos!B5</f>
        <v>Delegaciones Policiales diseñadas</v>
      </c>
      <c r="C89" s="30" t="n">
        <f aca="false">SUMPRODUCT((Hitos!$D$4:$K$4&lt;=Parametros!$C$6)*Hitos!$D$7:$K$7)</f>
        <v>21</v>
      </c>
      <c r="D89" s="30" t="n">
        <f aca="false">N(Escenarios!D35)</f>
        <v>0</v>
      </c>
      <c r="E89" s="30" t="n">
        <f aca="false">C89+D89</f>
        <v>21</v>
      </c>
      <c r="F89" s="34" t="n">
        <f aca="false">Hitos!L5</f>
        <v>35</v>
      </c>
      <c r="G89" s="34" t="n">
        <f aca="false">Hitos!L6</f>
        <v>21</v>
      </c>
      <c r="H89" s="45" t="n">
        <f aca="false">IF(F89=0,0,E89/F89*Hitos!M5)</f>
        <v>2904000</v>
      </c>
      <c r="I89" s="45" t="n">
        <f aca="false">IF(G89=0,0,E89/G89*Hitos!N5)</f>
        <v>4840000</v>
      </c>
    </row>
    <row r="90" customFormat="false" ht="15" hidden="false" customHeight="false" outlineLevel="0" collapsed="false">
      <c r="A90" s="34" t="n">
        <f aca="false">Hitos!A8</f>
        <v>7</v>
      </c>
      <c r="B90" s="44" t="str">
        <f aca="false">Hitos!B8</f>
        <v>Delegaciones Policiales construidas, equipadas y operando</v>
      </c>
      <c r="C90" s="30" t="n">
        <f aca="false">SUMPRODUCT((Hitos!$D$4:$K$4&lt;=Parametros!$C$6)*Hitos!$D$10:$K$10)</f>
        <v>12</v>
      </c>
      <c r="D90" s="30" t="n">
        <f aca="false">N(Escenarios!D36)</f>
        <v>3</v>
      </c>
      <c r="E90" s="30" t="n">
        <f aca="false">C90+D90</f>
        <v>15</v>
      </c>
      <c r="F90" s="34" t="n">
        <f aca="false">Hitos!L8</f>
        <v>35</v>
      </c>
      <c r="G90" s="34" t="n">
        <f aca="false">Hitos!L9</f>
        <v>17</v>
      </c>
      <c r="H90" s="45" t="n">
        <f aca="false">IF(F90=0,0,E90/F90*Hitos!M8)</f>
        <v>22283370.4285714</v>
      </c>
      <c r="I90" s="45" t="n">
        <f aca="false">IF(G90=0,0,E90/G90*Hitos!N8)</f>
        <v>45877526.4705882</v>
      </c>
    </row>
    <row r="91" customFormat="false" ht="15" hidden="false" customHeight="false" outlineLevel="0" collapsed="false">
      <c r="A91" s="34" t="n">
        <f aca="false">Hitos!A11</f>
        <v>15</v>
      </c>
      <c r="B91" s="44" t="str">
        <f aca="false">Hitos!B11</f>
        <v>CCPs diseñados</v>
      </c>
      <c r="C91" s="30" t="n">
        <f aca="false">SUMPRODUCT((Hitos!$D$4:$K$4&lt;=Parametros!$C$6)*Hitos!$D$13:$K$13)</f>
        <v>8</v>
      </c>
      <c r="D91" s="30" t="n">
        <f aca="false">N(Escenarios!D37)</f>
        <v>0</v>
      </c>
      <c r="E91" s="30" t="n">
        <f aca="false">C91+D91</f>
        <v>8</v>
      </c>
      <c r="F91" s="34" t="n">
        <f aca="false">Hitos!L11</f>
        <v>8</v>
      </c>
      <c r="G91" s="34" t="n">
        <f aca="false">Hitos!L12</f>
        <v>8</v>
      </c>
      <c r="H91" s="45" t="n">
        <f aca="false">IF(F91=0,0,E91/F91*Hitos!M11)</f>
        <v>2300000</v>
      </c>
      <c r="I91" s="45" t="n">
        <f aca="false">IF(G91=0,0,E91/G91*Hitos!N11)</f>
        <v>2300000</v>
      </c>
    </row>
    <row r="92" customFormat="false" ht="15" hidden="false" customHeight="false" outlineLevel="0" collapsed="false">
      <c r="A92" s="34" t="n">
        <f aca="false">Hitos!A14</f>
        <v>15</v>
      </c>
      <c r="B92" s="44" t="str">
        <f aca="false">Hitos!B14</f>
        <v>CCPs construidos, equipados y en funcionamiento</v>
      </c>
      <c r="C92" s="30" t="n">
        <f aca="false">SUMPRODUCT((Hitos!$D$4:$K$4&lt;=Parametros!$C$6)*Hitos!$D$16:$K$16)</f>
        <v>4</v>
      </c>
      <c r="D92" s="30" t="n">
        <f aca="false">N(Escenarios!D38)</f>
        <v>0</v>
      </c>
      <c r="E92" s="30" t="n">
        <f aca="false">C92+D92</f>
        <v>4</v>
      </c>
      <c r="F92" s="34" t="n">
        <f aca="false">Hitos!L14</f>
        <v>8</v>
      </c>
      <c r="G92" s="34" t="n">
        <f aca="false">Hitos!L15</f>
        <v>8</v>
      </c>
      <c r="H92" s="45" t="n">
        <f aca="false">IF(F92=0,0,E92/F92*Hitos!M14)</f>
        <v>14282500</v>
      </c>
      <c r="I92" s="45" t="n">
        <f aca="false">IF(G92=0,0,E92/G92*Hitos!N14)</f>
        <v>14282500</v>
      </c>
    </row>
    <row r="93" customFormat="false" ht="15" hidden="false" customHeight="false" outlineLevel="0" collapsed="false">
      <c r="A93" s="34" t="n">
        <f aca="false">Hitos!A17</f>
        <v>15</v>
      </c>
      <c r="B93" s="44" t="str">
        <f aca="false">Hitos!B17</f>
        <v>Techados de Skate Parks Garabito y Santa Cruz construidos</v>
      </c>
      <c r="C93" s="30" t="n">
        <f aca="false">SUMPRODUCT((Hitos!$D$4:$K$4&lt;=Parametros!$C$6)*Hitos!$D$19:$K$19)</f>
        <v>2</v>
      </c>
      <c r="D93" s="30" t="n">
        <f aca="false">N(Escenarios!D39)</f>
        <v>0</v>
      </c>
      <c r="E93" s="30" t="n">
        <f aca="false">C93+D93</f>
        <v>2</v>
      </c>
      <c r="F93" s="34" t="n">
        <f aca="false">Hitos!L17</f>
        <v>2</v>
      </c>
      <c r="G93" s="34" t="n">
        <f aca="false">Hitos!L18</f>
        <v>2</v>
      </c>
      <c r="H93" s="45" t="n">
        <f aca="false">IF(F93=0,0,E93/F93*Hitos!M17)</f>
        <v>730000</v>
      </c>
      <c r="I93" s="45" t="n">
        <f aca="false">IF(G93=0,0,E93/G93*Hitos!N17)</f>
        <v>730000</v>
      </c>
    </row>
    <row r="99" customFormat="false" ht="15" hidden="false" customHeight="false" outlineLevel="0" collapsed="false">
      <c r="A99" s="28" t="s">
        <v>185</v>
      </c>
      <c r="C99" s="43" t="str">
        <f aca="false">Escenarios!F5</f>
        <v>Gasto sin avance físico</v>
      </c>
    </row>
    <row r="100" customFormat="false" ht="15" hidden="false" customHeight="false" outlineLevel="0" collapsed="false">
      <c r="A100" s="7" t="s">
        <v>74</v>
      </c>
      <c r="B100" s="7" t="s">
        <v>75</v>
      </c>
      <c r="C100" s="7" t="s">
        <v>164</v>
      </c>
      <c r="D100" s="7" t="s">
        <v>165</v>
      </c>
      <c r="E100" s="7" t="s">
        <v>166</v>
      </c>
      <c r="F100" s="7" t="s">
        <v>167</v>
      </c>
      <c r="G100" s="7" t="s">
        <v>168</v>
      </c>
      <c r="H100" s="7" t="s">
        <v>169</v>
      </c>
      <c r="I100" s="7" t="s">
        <v>170</v>
      </c>
      <c r="J100" s="7" t="s">
        <v>171</v>
      </c>
      <c r="K100" s="7" t="s">
        <v>172</v>
      </c>
      <c r="L100" s="7" t="s">
        <v>173</v>
      </c>
      <c r="M100" s="7" t="s">
        <v>174</v>
      </c>
    </row>
    <row r="101" customFormat="false" ht="15" hidden="false" customHeight="false" outlineLevel="0" collapsed="false">
      <c r="A101" s="30" t="n">
        <v>1</v>
      </c>
      <c r="B101" s="44" t="str">
        <f aca="false">Fisico!B5</f>
        <v>P1.1. Plataformas de datos policiales integradas e interoperables</v>
      </c>
      <c r="C101" s="44" t="str">
        <f aca="false">Fisico!D5</f>
        <v>No</v>
      </c>
      <c r="D101" s="45" t="n">
        <f aca="false">SUMPRODUCT((Financiero!$F$4:$M$4&lt;=Parametros!$C$6)*Financiero!$F$5:$M$5)</f>
        <v>758011</v>
      </c>
      <c r="E101" s="45" t="n">
        <f aca="false">SUMPRODUCT((Financiero!$F$4:$M$4&lt;Parametros!$C$6)*Financiero!$F$7:$M$7)+SUMPRODUCT((Financiero!$F$4:$M$4=Parametros!$C$6)*Financiero!$F$6:$M$6)</f>
        <v>224656.16</v>
      </c>
      <c r="F101" s="45" t="n">
        <f aca="false">SUMPRODUCT((Financiero!$F$4:$M$4&lt;=Parametros!$C$6)*Financiero!$F$7:$M$7)+N(Escenarios!H16)</f>
        <v>224656.16</v>
      </c>
      <c r="G101" s="46" t="n">
        <f aca="false">SUMPRODUCT((Fisico!$F$4:$M$4&lt;=Parametros!$C$6)*Fisico!$F$5:$M$5)</f>
        <v>1</v>
      </c>
      <c r="H101" s="46" t="n">
        <f aca="false">SUMPRODUCT((Fisico!$F$4:$M$4&lt;Parametros!$C$6)*Fisico!$F$7:$M$7)+SUMPRODUCT((Fisico!$F$4:$M$4=Parametros!$C$6)*Fisico!$F$6:$M$6)</f>
        <v>0</v>
      </c>
      <c r="I101" s="46" t="n">
        <f aca="false">SUMPRODUCT((Fisico!$F$4:$M$4&lt;=Parametros!$C$6)*Fisico!$F$7:$M$7)+N(Escenarios!G16)</f>
        <v>0</v>
      </c>
      <c r="J101" s="47" t="n">
        <f aca="false">IF(G101=0,"N/A",I101/G101)</f>
        <v>0</v>
      </c>
      <c r="K101" s="47" t="str">
        <f aca="false">IF(H101=0,"N/A",I101/H101)</f>
        <v>N/A</v>
      </c>
      <c r="L101" s="45" t="n">
        <f aca="false">IF(C101="Sí",SUMIF($A$121:$A$125,A101,$H$121:$H$125),IF(J101="N/A",F101,J101*D101))</f>
        <v>0</v>
      </c>
      <c r="M101" s="45" t="n">
        <f aca="false">IF(C101="Sí",SUMIF($A$121:$A$125,A101,$I$121:$I$125),IF(K101="N/A",F101,K101*E101))</f>
        <v>224656.16</v>
      </c>
    </row>
    <row r="102" customFormat="false" ht="15" hidden="false" customHeight="false" outlineLevel="0" collapsed="false">
      <c r="A102" s="30" t="n">
        <v>2</v>
      </c>
      <c r="B102" s="44" t="str">
        <f aca="false">Fisico!B8</f>
        <v>P1.2. Sistema de información delictual fortalecidos y en funcionamiento</v>
      </c>
      <c r="C102" s="44" t="str">
        <f aca="false">Fisico!D8</f>
        <v>No</v>
      </c>
      <c r="D102" s="45" t="n">
        <f aca="false">SUMPRODUCT((Financiero!$F$4:$M$4&lt;=Parametros!$C$6)*Financiero!$F$8:$M$8)</f>
        <v>3104457</v>
      </c>
      <c r="E102" s="45" t="n">
        <f aca="false">SUMPRODUCT((Financiero!$F$4:$M$4&lt;Parametros!$C$6)*Financiero!$F$10:$M$10)+SUMPRODUCT((Financiero!$F$4:$M$4=Parametros!$C$6)*Financiero!$F$9:$M$9)</f>
        <v>23360</v>
      </c>
      <c r="F102" s="45" t="n">
        <f aca="false">SUMPRODUCT((Financiero!$F$4:$M$4&lt;=Parametros!$C$6)*Financiero!$F$10:$M$10)+N(Escenarios!H17)</f>
        <v>23360</v>
      </c>
      <c r="G102" s="46" t="n">
        <f aca="false">SUMPRODUCT((Fisico!$F$4:$M$4&lt;=Parametros!$C$6)*Fisico!$F$8:$M$8)</f>
        <v>1</v>
      </c>
      <c r="H102" s="46" t="n">
        <f aca="false">SUMPRODUCT((Fisico!$F$4:$M$4&lt;Parametros!$C$6)*Fisico!$F$10:$M$10)+SUMPRODUCT((Fisico!$F$4:$M$4=Parametros!$C$6)*Fisico!$F$9:$M$9)</f>
        <v>0</v>
      </c>
      <c r="I102" s="46" t="n">
        <f aca="false">SUMPRODUCT((Fisico!$F$4:$M$4&lt;=Parametros!$C$6)*Fisico!$F$10:$M$10)+N(Escenarios!G17)</f>
        <v>0</v>
      </c>
      <c r="J102" s="47" t="n">
        <f aca="false">IF(G102=0,"N/A",I102/G102)</f>
        <v>0</v>
      </c>
      <c r="K102" s="47" t="str">
        <f aca="false">IF(H102=0,"N/A",I102/H102)</f>
        <v>N/A</v>
      </c>
      <c r="L102" s="45" t="n">
        <f aca="false">IF(C102="Sí",SUMIF($A$121:$A$125,A102,$H$121:$H$125),IF(J102="N/A",F102,J102*D102))</f>
        <v>0</v>
      </c>
      <c r="M102" s="45" t="n">
        <f aca="false">IF(C102="Sí",SUMIF($A$121:$A$125,A102,$I$121:$I$125),IF(K102="N/A",F102,K102*E102))</f>
        <v>23360</v>
      </c>
    </row>
    <row r="103" customFormat="false" ht="15" hidden="false" customHeight="false" outlineLevel="0" collapsed="false">
      <c r="A103" s="30" t="n">
        <v>3</v>
      </c>
      <c r="B103" s="44" t="str">
        <f aca="false">Fisico!B11</f>
        <v>P.1.3. Departamentos de la FP capacitados en análisis criminal y monitoreo de dinámicas delictivas</v>
      </c>
      <c r="C103" s="44" t="str">
        <f aca="false">Fisico!D11</f>
        <v>No</v>
      </c>
      <c r="D103" s="45" t="n">
        <f aca="false">SUMPRODUCT((Financiero!$F$4:$M$4&lt;=Parametros!$C$6)*Financiero!$F$11:$M$11)</f>
        <v>300000</v>
      </c>
      <c r="E103" s="45" t="n">
        <f aca="false">SUMPRODUCT((Financiero!$F$4:$M$4&lt;Parametros!$C$6)*Financiero!$F$13:$M$13)+SUMPRODUCT((Financiero!$F$4:$M$4=Parametros!$C$6)*Financiero!$F$12:$M$12)</f>
        <v>140489.6</v>
      </c>
      <c r="F103" s="45" t="n">
        <f aca="false">SUMPRODUCT((Financiero!$F$4:$M$4&lt;=Parametros!$C$6)*Financiero!$F$13:$M$13)+N(Escenarios!H18)</f>
        <v>140489.6</v>
      </c>
      <c r="G103" s="46" t="n">
        <f aca="false">SUMPRODUCT((Fisico!$F$4:$M$4&lt;=Parametros!$C$6)*Fisico!$F$11:$M$11)</f>
        <v>16</v>
      </c>
      <c r="H103" s="46" t="n">
        <f aca="false">SUMPRODUCT((Fisico!$F$4:$M$4&lt;Parametros!$C$6)*Fisico!$F$13:$M$13)+SUMPRODUCT((Fisico!$F$4:$M$4=Parametros!$C$6)*Fisico!$F$12:$M$12)</f>
        <v>29</v>
      </c>
      <c r="I103" s="46" t="n">
        <f aca="false">SUMPRODUCT((Fisico!$F$4:$M$4&lt;=Parametros!$C$6)*Fisico!$F$13:$M$13)+N(Escenarios!G18)</f>
        <v>29</v>
      </c>
      <c r="J103" s="47" t="n">
        <f aca="false">IF(G103=0,"N/A",I103/G103)</f>
        <v>1.8125</v>
      </c>
      <c r="K103" s="47" t="n">
        <f aca="false">IF(H103=0,"N/A",I103/H103)</f>
        <v>1</v>
      </c>
      <c r="L103" s="45" t="n">
        <f aca="false">IF(C103="Sí",SUMIF($A$121:$A$125,A103,$H$121:$H$125),IF(J103="N/A",F103,J103*D103))</f>
        <v>543750</v>
      </c>
      <c r="M103" s="45" t="n">
        <f aca="false">IF(C103="Sí",SUMIF($A$121:$A$125,A103,$I$121:$I$125),IF(K103="N/A",F103,K103*E103))</f>
        <v>140489.6</v>
      </c>
    </row>
    <row r="104" customFormat="false" ht="15" hidden="false" customHeight="false" outlineLevel="0" collapsed="false">
      <c r="A104" s="30" t="n">
        <v>4</v>
      </c>
      <c r="B104" s="44" t="str">
        <f aca="false">Fisico!B14</f>
        <v>P.1.4. Estrategias policiales basadas en evidencia diseñadas e implementadas</v>
      </c>
      <c r="C104" s="44" t="str">
        <f aca="false">Fisico!D14</f>
        <v>No</v>
      </c>
      <c r="D104" s="45" t="n">
        <f aca="false">SUMPRODUCT((Financiero!$F$4:$M$4&lt;=Parametros!$C$6)*Financiero!$F$14:$M$14)</f>
        <v>1603001</v>
      </c>
      <c r="E104" s="45" t="n">
        <f aca="false">SUMPRODUCT((Financiero!$F$4:$M$4&lt;Parametros!$C$6)*Financiero!$F$16:$M$16)+SUMPRODUCT((Financiero!$F$4:$M$4=Parametros!$C$6)*Financiero!$F$15:$M$15)</f>
        <v>1399764.24</v>
      </c>
      <c r="F104" s="45" t="n">
        <f aca="false">SUMPRODUCT((Financiero!$F$4:$M$4&lt;=Parametros!$C$6)*Financiero!$F$16:$M$16)+N(Escenarios!H19)</f>
        <v>835473.63</v>
      </c>
      <c r="G104" s="46" t="n">
        <f aca="false">SUMPRODUCT((Fisico!$F$4:$M$4&lt;=Parametros!$C$6)*Fisico!$F$14:$M$14)</f>
        <v>1</v>
      </c>
      <c r="H104" s="46" t="n">
        <f aca="false">SUMPRODUCT((Fisico!$F$4:$M$4&lt;Parametros!$C$6)*Fisico!$F$16:$M$16)+SUMPRODUCT((Fisico!$F$4:$M$4=Parametros!$C$6)*Fisico!$F$15:$M$15)</f>
        <v>1</v>
      </c>
      <c r="I104" s="46" t="n">
        <f aca="false">SUMPRODUCT((Fisico!$F$4:$M$4&lt;=Parametros!$C$6)*Fisico!$F$16:$M$16)+N(Escenarios!G19)</f>
        <v>0</v>
      </c>
      <c r="J104" s="47" t="n">
        <f aca="false">IF(G104=0,"N/A",I104/G104)</f>
        <v>0</v>
      </c>
      <c r="K104" s="47" t="n">
        <f aca="false">IF(H104=0,"N/A",I104/H104)</f>
        <v>0</v>
      </c>
      <c r="L104" s="45" t="n">
        <f aca="false">IF(C104="Sí",SUMIF($A$121:$A$125,A104,$H$121:$H$125),IF(J104="N/A",F104,J104*D104))</f>
        <v>0</v>
      </c>
      <c r="M104" s="45" t="n">
        <f aca="false">IF(C104="Sí",SUMIF($A$121:$A$125,A104,$I$121:$I$125),IF(K104="N/A",F104,K104*E104))</f>
        <v>0</v>
      </c>
    </row>
    <row r="105" customFormat="false" ht="15" hidden="false" customHeight="false" outlineLevel="0" collapsed="false">
      <c r="A105" s="30" t="n">
        <v>5</v>
      </c>
      <c r="B105" s="44" t="str">
        <f aca="false">Fisico!B17</f>
        <v>P.1.5. Evaluación de impacto de estrategias policiales basadas en evidencia diseñada e implementada</v>
      </c>
      <c r="C105" s="44" t="str">
        <f aca="false">Fisico!D17</f>
        <v>No</v>
      </c>
      <c r="D105" s="45" t="n">
        <f aca="false">SUMPRODUCT((Financiero!$F$4:$M$4&lt;=Parametros!$C$6)*Financiero!$F$17:$M$17)</f>
        <v>150000</v>
      </c>
      <c r="E105" s="45" t="n">
        <f aca="false">SUMPRODUCT((Financiero!$F$4:$M$4&lt;Parametros!$C$6)*Financiero!$F$19:$M$19)+SUMPRODUCT((Financiero!$F$4:$M$4=Parametros!$C$6)*Financiero!$F$18:$M$18)</f>
        <v>130000</v>
      </c>
      <c r="F105" s="45" t="n">
        <f aca="false">SUMPRODUCT((Financiero!$F$4:$M$4&lt;=Parametros!$C$6)*Financiero!$F$19:$M$19)+N(Escenarios!H20)</f>
        <v>97637.5</v>
      </c>
      <c r="G105" s="46" t="n">
        <f aca="false">SUMPRODUCT((Fisico!$F$4:$M$4&lt;=Parametros!$C$6)*Fisico!$F$17:$M$17)</f>
        <v>1</v>
      </c>
      <c r="H105" s="46" t="n">
        <f aca="false">SUMPRODUCT((Fisico!$F$4:$M$4&lt;Parametros!$C$6)*Fisico!$F$19:$M$19)+SUMPRODUCT((Fisico!$F$4:$M$4=Parametros!$C$6)*Fisico!$F$18:$M$18)</f>
        <v>1</v>
      </c>
      <c r="I105" s="46" t="n">
        <f aca="false">SUMPRODUCT((Fisico!$F$4:$M$4&lt;=Parametros!$C$6)*Fisico!$F$19:$M$19)+N(Escenarios!G20)</f>
        <v>0</v>
      </c>
      <c r="J105" s="47" t="n">
        <f aca="false">IF(G105=0,"N/A",I105/G105)</f>
        <v>0</v>
      </c>
      <c r="K105" s="47" t="n">
        <f aca="false">IF(H105=0,"N/A",I105/H105)</f>
        <v>0</v>
      </c>
      <c r="L105" s="45" t="n">
        <f aca="false">IF(C105="Sí",SUMIF($A$121:$A$125,A105,$H$121:$H$125),IF(J105="N/A",F105,J105*D105))</f>
        <v>0</v>
      </c>
      <c r="M105" s="45" t="n">
        <f aca="false">IF(C105="Sí",SUMIF($A$121:$A$125,A105,$I$121:$I$125),IF(K105="N/A",F105,K105*E105))</f>
        <v>0</v>
      </c>
    </row>
    <row r="106" customFormat="false" ht="15" hidden="false" customHeight="false" outlineLevel="0" collapsed="false">
      <c r="A106" s="30" t="n">
        <v>6</v>
      </c>
      <c r="B106" s="44" t="str">
        <f aca="false">Fisico!B20</f>
        <v>P.1.6. Sistema de procesamiento de quejas ciudadanas y procesos disciplinarios, fortalecido</v>
      </c>
      <c r="C106" s="44" t="str">
        <f aca="false">Fisico!D20</f>
        <v>No</v>
      </c>
      <c r="D106" s="45" t="n">
        <f aca="false">SUMPRODUCT((Financiero!$F$4:$M$4&lt;=Parametros!$C$6)*Financiero!$F$20:$M$20)</f>
        <v>250000</v>
      </c>
      <c r="E106" s="45" t="n">
        <f aca="false">SUMPRODUCT((Financiero!$F$4:$M$4&lt;Parametros!$C$6)*Financiero!$F$22:$M$22)+SUMPRODUCT((Financiero!$F$4:$M$4=Parametros!$C$6)*Financiero!$F$21:$M$21)</f>
        <v>365000</v>
      </c>
      <c r="F106" s="45" t="n">
        <f aca="false">SUMPRODUCT((Financiero!$F$4:$M$4&lt;=Parametros!$C$6)*Financiero!$F$22:$M$22)+N(Escenarios!H21)</f>
        <v>277246.95</v>
      </c>
      <c r="G106" s="46" t="n">
        <f aca="false">SUMPRODUCT((Fisico!$F$4:$M$4&lt;=Parametros!$C$6)*Fisico!$F$20:$M$20)</f>
        <v>1</v>
      </c>
      <c r="H106" s="46" t="n">
        <f aca="false">SUMPRODUCT((Fisico!$F$4:$M$4&lt;Parametros!$C$6)*Fisico!$F$22:$M$22)+SUMPRODUCT((Fisico!$F$4:$M$4=Parametros!$C$6)*Fisico!$F$21:$M$21)</f>
        <v>1</v>
      </c>
      <c r="I106" s="46" t="n">
        <f aca="false">SUMPRODUCT((Fisico!$F$4:$M$4&lt;=Parametros!$C$6)*Fisico!$F$22:$M$22)+N(Escenarios!G21)</f>
        <v>0</v>
      </c>
      <c r="J106" s="47" t="n">
        <f aca="false">IF(G106=0,"N/A",I106/G106)</f>
        <v>0</v>
      </c>
      <c r="K106" s="47" t="n">
        <f aca="false">IF(H106=0,"N/A",I106/H106)</f>
        <v>0</v>
      </c>
      <c r="L106" s="45" t="n">
        <f aca="false">IF(C106="Sí",SUMIF($A$121:$A$125,A106,$H$121:$H$125),IF(J106="N/A",F106,J106*D106))</f>
        <v>0</v>
      </c>
      <c r="M106" s="45" t="n">
        <f aca="false">IF(C106="Sí",SUMIF($A$121:$A$125,A106,$I$121:$I$125),IF(K106="N/A",F106,K106*E106))</f>
        <v>0</v>
      </c>
    </row>
    <row r="107" customFormat="false" ht="15" hidden="false" customHeight="false" outlineLevel="0" collapsed="false">
      <c r="A107" s="30" t="n">
        <v>7</v>
      </c>
      <c r="B107" s="44" t="str">
        <f aca="false">Fisico!B23</f>
        <v>P.1.7. Delegaciones diseñadas, construida, equipadas y operando bajo el enfoque de policía comunitaria</v>
      </c>
      <c r="C107" s="44" t="str">
        <f aca="false">Fisico!D23</f>
        <v>Sí</v>
      </c>
      <c r="D107" s="45" t="n">
        <f aca="false">SUMPRODUCT((Financiero!$F$4:$M$4&lt;=Parametros!$C$6)*Financiero!$F$23:$M$23)</f>
        <v>56834531</v>
      </c>
      <c r="E107" s="45" t="n">
        <f aca="false">SUMPRODUCT((Financiero!$F$4:$M$4&lt;Parametros!$C$6)*Financiero!$F$25:$M$25)+SUMPRODUCT((Financiero!$F$4:$M$4=Parametros!$C$6)*Financiero!$F$24:$M$24)</f>
        <v>50172908.21</v>
      </c>
      <c r="F107" s="45" t="n">
        <f aca="false">SUMPRODUCT((Financiero!$F$4:$M$4&lt;=Parametros!$C$6)*Financiero!$F$25:$M$25)+N(Escenarios!H22)</f>
        <v>49198416.25</v>
      </c>
      <c r="G107" s="46" t="n">
        <f aca="false">SUMPRODUCT((Fisico!$F$4:$M$4&lt;=Parametros!$C$6)*Fisico!$F$23:$M$23)</f>
        <v>35</v>
      </c>
      <c r="H107" s="46" t="n">
        <f aca="false">SUMPRODUCT((Fisico!$F$4:$M$4&lt;Parametros!$C$6)*Fisico!$F$25:$M$25)+SUMPRODUCT((Fisico!$F$4:$M$4=Parametros!$C$6)*Fisico!$F$24:$M$24)</f>
        <v>11</v>
      </c>
      <c r="I107" s="46" t="n">
        <f aca="false">SUMPRODUCT((Fisico!$F$4:$M$4&lt;=Parametros!$C$6)*Fisico!$F$25:$M$25)+N(Escenarios!G22)</f>
        <v>12</v>
      </c>
      <c r="J107" s="47" t="n">
        <f aca="false">IF(G107=0,"N/A",I107/G107)</f>
        <v>0.342857142857143</v>
      </c>
      <c r="K107" s="47" t="n">
        <f aca="false">IF(H107=0,"N/A",I107/H107)</f>
        <v>1.09090909090909</v>
      </c>
      <c r="L107" s="45" t="n">
        <f aca="false">IF(C107="Sí",SUMIF($A$121:$A$125,A107,$H$121:$H$125),IF(J107="N/A",F107,J107*D107))</f>
        <v>20730696.3428571</v>
      </c>
      <c r="M107" s="45" t="n">
        <f aca="false">IF(C107="Sí",SUMIF($A$121:$A$125,A107,$I$121:$I$125),IF(K107="N/A",F107,K107*E107))</f>
        <v>41542021.1764706</v>
      </c>
    </row>
    <row r="108" customFormat="false" ht="15" hidden="false" customHeight="false" outlineLevel="0" collapsed="false">
      <c r="A108" s="30" t="n">
        <v>8</v>
      </c>
      <c r="B108" s="44" t="str">
        <f aca="false">Fisico!B26</f>
        <v>Centro de Mando y Control Policial (CMCP) diseñado, construido, equipado y en funcionamiento</v>
      </c>
      <c r="C108" s="44" t="str">
        <f aca="false">Fisico!D26</f>
        <v>No</v>
      </c>
      <c r="D108" s="45" t="n">
        <f aca="false">SUMPRODUCT((Financiero!$F$4:$M$4&lt;=Parametros!$C$6)*Financiero!$F$26:$M$26)</f>
        <v>0</v>
      </c>
      <c r="E108" s="45" t="n">
        <f aca="false">SUMPRODUCT((Financiero!$F$4:$M$4&lt;Parametros!$C$6)*Financiero!$F$28:$M$28)+SUMPRODUCT((Financiero!$F$4:$M$4=Parametros!$C$6)*Financiero!$F$27:$M$27)</f>
        <v>3162756.25</v>
      </c>
      <c r="F108" s="45" t="n">
        <f aca="false">SUMPRODUCT((Financiero!$F$4:$M$4&lt;=Parametros!$C$6)*Financiero!$F$28:$M$28)+N(Escenarios!H23)</f>
        <v>2499243.73</v>
      </c>
      <c r="G108" s="46" t="n">
        <f aca="false">SUMPRODUCT((Fisico!$F$4:$M$4&lt;=Parametros!$C$6)*Fisico!$F$26:$M$26)</f>
        <v>0</v>
      </c>
      <c r="H108" s="46" t="n">
        <f aca="false">SUMPRODUCT((Fisico!$F$4:$M$4&lt;Parametros!$C$6)*Fisico!$F$28:$M$28)+SUMPRODUCT((Fisico!$F$4:$M$4=Parametros!$C$6)*Fisico!$F$27:$M$27)</f>
        <v>0</v>
      </c>
      <c r="I108" s="46" t="n">
        <f aca="false">SUMPRODUCT((Fisico!$F$4:$M$4&lt;=Parametros!$C$6)*Fisico!$F$28:$M$28)+N(Escenarios!G23)</f>
        <v>0</v>
      </c>
      <c r="J108" s="47" t="str">
        <f aca="false">IF(G108=0,"N/A",I108/G108)</f>
        <v>N/A</v>
      </c>
      <c r="K108" s="47" t="str">
        <f aca="false">IF(H108=0,"N/A",I108/H108)</f>
        <v>N/A</v>
      </c>
      <c r="L108" s="45" t="n">
        <f aca="false">IF(C108="Sí",SUMIF($A$121:$A$125,A108,$H$121:$H$125),IF(J108="N/A",F108,J108*D108))</f>
        <v>2499243.73</v>
      </c>
      <c r="M108" s="45" t="n">
        <f aca="false">IF(C108="Sí",SUMIF($A$121:$A$125,A108,$I$121:$I$125),IF(K108="N/A",F108,K108*E108))</f>
        <v>2499243.73</v>
      </c>
    </row>
    <row r="109" customFormat="false" ht="15" hidden="false" customHeight="false" outlineLevel="0" collapsed="false">
      <c r="A109" s="30" t="n">
        <v>9</v>
      </c>
      <c r="B109" s="44" t="str">
        <f aca="false">Fisico!B29</f>
        <v>P.2.1. Modelo de atención de los CCP actualizado, fortalecido, y en funcionamiento en los CCPs de la red</v>
      </c>
      <c r="C109" s="44" t="str">
        <f aca="false">Fisico!D29</f>
        <v>No</v>
      </c>
      <c r="D109" s="45" t="n">
        <f aca="false">SUMPRODUCT((Financiero!$F$4:$M$4&lt;=Parametros!$C$6)*Financiero!$F$29:$M$29)</f>
        <v>300000</v>
      </c>
      <c r="E109" s="45" t="n">
        <f aca="false">SUMPRODUCT((Financiero!$F$4:$M$4&lt;Parametros!$C$6)*Financiero!$F$31:$M$31)+SUMPRODUCT((Financiero!$F$4:$M$4=Parametros!$C$6)*Financiero!$F$30:$M$30)</f>
        <v>353000</v>
      </c>
      <c r="F109" s="45" t="n">
        <f aca="false">SUMPRODUCT((Financiero!$F$4:$M$4&lt;=Parametros!$C$6)*Financiero!$F$31:$M$31)+N(Escenarios!H24)</f>
        <v>179915.1</v>
      </c>
      <c r="G109" s="46" t="n">
        <f aca="false">SUMPRODUCT((Fisico!$F$4:$M$4&lt;=Parametros!$C$6)*Fisico!$F$29:$M$29)</f>
        <v>1</v>
      </c>
      <c r="H109" s="46" t="n">
        <f aca="false">SUMPRODUCT((Fisico!$F$4:$M$4&lt;Parametros!$C$6)*Fisico!$F$31:$M$31)+SUMPRODUCT((Fisico!$F$4:$M$4=Parametros!$C$6)*Fisico!$F$30:$M$30)</f>
        <v>1</v>
      </c>
      <c r="I109" s="46" t="n">
        <f aca="false">SUMPRODUCT((Fisico!$F$4:$M$4&lt;=Parametros!$C$6)*Fisico!$F$31:$M$31)+N(Escenarios!G24)</f>
        <v>0</v>
      </c>
      <c r="J109" s="47" t="n">
        <f aca="false">IF(G109=0,"N/A",I109/G109)</f>
        <v>0</v>
      </c>
      <c r="K109" s="47" t="n">
        <f aca="false">IF(H109=0,"N/A",I109/H109)</f>
        <v>0</v>
      </c>
      <c r="L109" s="45" t="n">
        <f aca="false">IF(C109="Sí",SUMIF($A$121:$A$125,A109,$H$121:$H$125),IF(J109="N/A",F109,J109*D109))</f>
        <v>0</v>
      </c>
      <c r="M109" s="45" t="n">
        <f aca="false">IF(C109="Sí",SUMIF($A$121:$A$125,A109,$I$121:$I$125),IF(K109="N/A",F109,K109*E109))</f>
        <v>0</v>
      </c>
    </row>
    <row r="110" customFormat="false" ht="15" hidden="false" customHeight="false" outlineLevel="0" collapsed="false">
      <c r="A110" s="30" t="n">
        <v>10</v>
      </c>
      <c r="B110" s="44" t="str">
        <f aca="false">Fisico!B32</f>
        <v>P.2.2. Modelo de gestión de los CCP homologado, fortalecido y en funcionamiento en los CCPs de la red</v>
      </c>
      <c r="C110" s="44" t="str">
        <f aca="false">Fisico!D32</f>
        <v>No</v>
      </c>
      <c r="D110" s="45" t="n">
        <f aca="false">SUMPRODUCT((Financiero!$F$4:$M$4&lt;=Parametros!$C$6)*Financiero!$F$32:$M$32)</f>
        <v>145000</v>
      </c>
      <c r="E110" s="45" t="n">
        <f aca="false">SUMPRODUCT((Financiero!$F$4:$M$4&lt;Parametros!$C$6)*Financiero!$F$34:$M$34)+SUMPRODUCT((Financiero!$F$4:$M$4=Parametros!$C$6)*Financiero!$F$33:$M$33)</f>
        <v>141855</v>
      </c>
      <c r="F110" s="45" t="n">
        <f aca="false">SUMPRODUCT((Financiero!$F$4:$M$4&lt;=Parametros!$C$6)*Financiero!$F$34:$M$34)+N(Escenarios!H25)</f>
        <v>0</v>
      </c>
      <c r="G110" s="46" t="n">
        <f aca="false">SUMPRODUCT((Fisico!$F$4:$M$4&lt;=Parametros!$C$6)*Fisico!$F$32:$M$32)</f>
        <v>1</v>
      </c>
      <c r="H110" s="46" t="n">
        <f aca="false">SUMPRODUCT((Fisico!$F$4:$M$4&lt;Parametros!$C$6)*Fisico!$F$34:$M$34)+SUMPRODUCT((Fisico!$F$4:$M$4=Parametros!$C$6)*Fisico!$F$33:$M$33)</f>
        <v>1</v>
      </c>
      <c r="I110" s="46" t="n">
        <f aca="false">SUMPRODUCT((Fisico!$F$4:$M$4&lt;=Parametros!$C$6)*Fisico!$F$34:$M$34)+N(Escenarios!G25)</f>
        <v>0</v>
      </c>
      <c r="J110" s="47" t="n">
        <f aca="false">IF(G110=0,"N/A",I110/G110)</f>
        <v>0</v>
      </c>
      <c r="K110" s="47" t="n">
        <f aca="false">IF(H110=0,"N/A",I110/H110)</f>
        <v>0</v>
      </c>
      <c r="L110" s="45" t="n">
        <f aca="false">IF(C110="Sí",SUMIF($A$121:$A$125,A110,$H$121:$H$125),IF(J110="N/A",F110,J110*D110))</f>
        <v>0</v>
      </c>
      <c r="M110" s="45" t="n">
        <f aca="false">IF(C110="Sí",SUMIF($A$121:$A$125,A110,$I$121:$I$125),IF(K110="N/A",F110,K110*E110))</f>
        <v>0</v>
      </c>
    </row>
    <row r="111" customFormat="false" ht="15" hidden="false" customHeight="false" outlineLevel="0" collapsed="false">
      <c r="A111" s="30" t="n">
        <v>11</v>
      </c>
      <c r="B111" s="44" t="str">
        <f aca="false">Fisico!B35</f>
        <v>P.2.3. Municipalidades y grupos de sociedad civil capacitados y utilizando las nuevas competencias adquiridas en prevención de violencia</v>
      </c>
      <c r="C111" s="44" t="str">
        <f aca="false">Fisico!D35</f>
        <v>No</v>
      </c>
      <c r="D111" s="45" t="n">
        <f aca="false">SUMPRODUCT((Financiero!$F$4:$M$4&lt;=Parametros!$C$6)*Financiero!$F$35:$M$35)</f>
        <v>97500</v>
      </c>
      <c r="E111" s="45" t="n">
        <f aca="false">SUMPRODUCT((Financiero!$F$4:$M$4&lt;Parametros!$C$6)*Financiero!$F$37:$M$37)+SUMPRODUCT((Financiero!$F$4:$M$4=Parametros!$C$6)*Financiero!$F$36:$M$36)</f>
        <v>97495</v>
      </c>
      <c r="F111" s="45" t="n">
        <f aca="false">SUMPRODUCT((Financiero!$F$4:$M$4&lt;=Parametros!$C$6)*Financiero!$F$37:$M$37)+N(Escenarios!H26)</f>
        <v>81046.84</v>
      </c>
      <c r="G111" s="46" t="n">
        <f aca="false">SUMPRODUCT((Fisico!$F$4:$M$4&lt;=Parametros!$C$6)*Fisico!$F$35:$M$35)</f>
        <v>15</v>
      </c>
      <c r="H111" s="46" t="n">
        <f aca="false">SUMPRODUCT((Fisico!$F$4:$M$4&lt;Parametros!$C$6)*Fisico!$F$37:$M$37)+SUMPRODUCT((Fisico!$F$4:$M$4=Parametros!$C$6)*Fisico!$F$36:$M$36)</f>
        <v>15</v>
      </c>
      <c r="I111" s="46" t="n">
        <f aca="false">SUMPRODUCT((Fisico!$F$4:$M$4&lt;=Parametros!$C$6)*Fisico!$F$37:$M$37)+N(Escenarios!G26)</f>
        <v>15</v>
      </c>
      <c r="J111" s="47" t="n">
        <f aca="false">IF(G111=0,"N/A",I111/G111)</f>
        <v>1</v>
      </c>
      <c r="K111" s="47" t="n">
        <f aca="false">IF(H111=0,"N/A",I111/H111)</f>
        <v>1</v>
      </c>
      <c r="L111" s="45" t="n">
        <f aca="false">IF(C111="Sí",SUMIF($A$121:$A$125,A111,$H$121:$H$125),IF(J111="N/A",F111,J111*D111))</f>
        <v>97500</v>
      </c>
      <c r="M111" s="45" t="n">
        <f aca="false">IF(C111="Sí",SUMIF($A$121:$A$125,A111,$I$121:$I$125),IF(K111="N/A",F111,K111*E111))</f>
        <v>97495</v>
      </c>
    </row>
    <row r="112" customFormat="false" ht="15" hidden="false" customHeight="false" outlineLevel="0" collapsed="false">
      <c r="A112" s="30" t="n">
        <v>12</v>
      </c>
      <c r="B112" s="44" t="str">
        <f aca="false">Fisico!B38</f>
        <v>P.2.4. Estrategia de comunicación social de los CCP, diseñada e implementada</v>
      </c>
      <c r="C112" s="44" t="str">
        <f aca="false">Fisico!D38</f>
        <v>No</v>
      </c>
      <c r="D112" s="45" t="n">
        <f aca="false">SUMPRODUCT((Financiero!$F$4:$M$4&lt;=Parametros!$C$6)*Financiero!$F$38:$M$38)</f>
        <v>75000</v>
      </c>
      <c r="E112" s="45" t="n">
        <f aca="false">SUMPRODUCT((Financiero!$F$4:$M$4&lt;Parametros!$C$6)*Financiero!$F$40:$M$40)+SUMPRODUCT((Financiero!$F$4:$M$4=Parametros!$C$6)*Financiero!$F$39:$M$39)</f>
        <v>101393</v>
      </c>
      <c r="F112" s="45" t="n">
        <f aca="false">SUMPRODUCT((Financiero!$F$4:$M$4&lt;=Parametros!$C$6)*Financiero!$F$40:$M$40)+N(Escenarios!H27)</f>
        <v>46180</v>
      </c>
      <c r="G112" s="46" t="n">
        <f aca="false">SUMPRODUCT((Fisico!$F$4:$M$4&lt;=Parametros!$C$6)*Fisico!$F$38:$M$38)</f>
        <v>1</v>
      </c>
      <c r="H112" s="46" t="n">
        <f aca="false">SUMPRODUCT((Fisico!$F$4:$M$4&lt;Parametros!$C$6)*Fisico!$F$40:$M$40)+SUMPRODUCT((Fisico!$F$4:$M$4=Parametros!$C$6)*Fisico!$F$39:$M$39)</f>
        <v>1</v>
      </c>
      <c r="I112" s="46" t="n">
        <f aca="false">SUMPRODUCT((Fisico!$F$4:$M$4&lt;=Parametros!$C$6)*Fisico!$F$40:$M$40)+N(Escenarios!G27)</f>
        <v>1</v>
      </c>
      <c r="J112" s="47" t="n">
        <f aca="false">IF(G112=0,"N/A",I112/G112)</f>
        <v>1</v>
      </c>
      <c r="K112" s="47" t="n">
        <f aca="false">IF(H112=0,"N/A",I112/H112)</f>
        <v>1</v>
      </c>
      <c r="L112" s="45" t="n">
        <f aca="false">IF(C112="Sí",SUMIF($A$121:$A$125,A112,$H$121:$H$125),IF(J112="N/A",F112,J112*D112))</f>
        <v>75000</v>
      </c>
      <c r="M112" s="45" t="n">
        <f aca="false">IF(C112="Sí",SUMIF($A$121:$A$125,A112,$I$121:$I$125),IF(K112="N/A",F112,K112*E112))</f>
        <v>101393</v>
      </c>
    </row>
    <row r="113" customFormat="false" ht="15" hidden="false" customHeight="false" outlineLevel="0" collapsed="false">
      <c r="A113" s="30" t="n">
        <v>13</v>
      </c>
      <c r="B113" s="44" t="str">
        <f aca="false">Fisico!B41</f>
        <v>P.2.5. Sistema de información integrado de los CCP, desarrollado e implementado</v>
      </c>
      <c r="C113" s="44" t="str">
        <f aca="false">Fisico!D41</f>
        <v>No</v>
      </c>
      <c r="D113" s="45" t="n">
        <f aca="false">SUMPRODUCT((Financiero!$F$4:$M$4&lt;=Parametros!$C$6)*Financiero!$F$41:$M$41)</f>
        <v>87500</v>
      </c>
      <c r="E113" s="45" t="n">
        <f aca="false">SUMPRODUCT((Financiero!$F$4:$M$4&lt;Parametros!$C$6)*Financiero!$F$43:$M$43)+SUMPRODUCT((Financiero!$F$4:$M$4=Parametros!$C$6)*Financiero!$F$42:$M$42)</f>
        <v>109170</v>
      </c>
      <c r="F113" s="45" t="n">
        <f aca="false">SUMPRODUCT((Financiero!$F$4:$M$4&lt;=Parametros!$C$6)*Financiero!$F$43:$M$43)+N(Escenarios!H28)</f>
        <v>99715</v>
      </c>
      <c r="G113" s="46" t="n">
        <f aca="false">SUMPRODUCT((Fisico!$F$4:$M$4&lt;=Parametros!$C$6)*Fisico!$F$41:$M$41)</f>
        <v>1</v>
      </c>
      <c r="H113" s="46" t="n">
        <f aca="false">SUMPRODUCT((Fisico!$F$4:$M$4&lt;Parametros!$C$6)*Fisico!$F$43:$M$43)+SUMPRODUCT((Fisico!$F$4:$M$4=Parametros!$C$6)*Fisico!$F$42:$M$42)</f>
        <v>1</v>
      </c>
      <c r="I113" s="46" t="n">
        <f aca="false">SUMPRODUCT((Fisico!$F$4:$M$4&lt;=Parametros!$C$6)*Fisico!$F$43:$M$43)+N(Escenarios!G28)</f>
        <v>0</v>
      </c>
      <c r="J113" s="47" t="n">
        <f aca="false">IF(G113=0,"N/A",I113/G113)</f>
        <v>0</v>
      </c>
      <c r="K113" s="47" t="n">
        <f aca="false">IF(H113=0,"N/A",I113/H113)</f>
        <v>0</v>
      </c>
      <c r="L113" s="45" t="n">
        <f aca="false">IF(C113="Sí",SUMIF($A$121:$A$125,A113,$H$121:$H$125),IF(J113="N/A",F113,J113*D113))</f>
        <v>0</v>
      </c>
      <c r="M113" s="45" t="n">
        <f aca="false">IF(C113="Sí",SUMIF($A$121:$A$125,A113,$I$121:$I$125),IF(K113="N/A",F113,K113*E113))</f>
        <v>0</v>
      </c>
    </row>
    <row r="114" customFormat="false" ht="15" hidden="false" customHeight="false" outlineLevel="0" collapsed="false">
      <c r="A114" s="30" t="n">
        <v>14</v>
      </c>
      <c r="B114" s="44" t="str">
        <f aca="false">Fisico!B44</f>
        <v>P.2.6. Evaluación de impacto de los CCP diseñada e implementada</v>
      </c>
      <c r="C114" s="44" t="str">
        <f aca="false">Fisico!D44</f>
        <v>No</v>
      </c>
      <c r="D114" s="45" t="n">
        <f aca="false">SUMPRODUCT((Financiero!$F$4:$M$4&lt;=Parametros!$C$6)*Financiero!$F$44:$M$44)</f>
        <v>200000</v>
      </c>
      <c r="E114" s="45" t="n">
        <f aca="false">SUMPRODUCT((Financiero!$F$4:$M$4&lt;Parametros!$C$6)*Financiero!$F$46:$M$46)+SUMPRODUCT((Financiero!$F$4:$M$4=Parametros!$C$6)*Financiero!$F$45:$M$45)</f>
        <v>102087</v>
      </c>
      <c r="F114" s="45" t="n">
        <f aca="false">SUMPRODUCT((Financiero!$F$4:$M$4&lt;=Parametros!$C$6)*Financiero!$F$46:$M$46)+N(Escenarios!H29)</f>
        <v>13887.5</v>
      </c>
      <c r="G114" s="46" t="n">
        <f aca="false">SUMPRODUCT((Fisico!$F$4:$M$4&lt;=Parametros!$C$6)*Fisico!$F$44:$M$44)</f>
        <v>1</v>
      </c>
      <c r="H114" s="46" t="n">
        <f aca="false">SUMPRODUCT((Fisico!$F$4:$M$4&lt;Parametros!$C$6)*Fisico!$F$46:$M$46)+SUMPRODUCT((Fisico!$F$4:$M$4=Parametros!$C$6)*Fisico!$F$45:$M$45)</f>
        <v>1</v>
      </c>
      <c r="I114" s="46" t="n">
        <f aca="false">SUMPRODUCT((Fisico!$F$4:$M$4&lt;=Parametros!$C$6)*Fisico!$F$46:$M$46)+N(Escenarios!G29)</f>
        <v>0</v>
      </c>
      <c r="J114" s="47" t="n">
        <f aca="false">IF(G114=0,"N/A",I114/G114)</f>
        <v>0</v>
      </c>
      <c r="K114" s="47" t="n">
        <f aca="false">IF(H114=0,"N/A",I114/H114)</f>
        <v>0</v>
      </c>
      <c r="L114" s="45" t="n">
        <f aca="false">IF(C114="Sí",SUMIF($A$121:$A$125,A114,$H$121:$H$125),IF(J114="N/A",F114,J114*D114))</f>
        <v>0</v>
      </c>
      <c r="M114" s="45" t="n">
        <f aca="false">IF(C114="Sí",SUMIF($A$121:$A$125,A114,$I$121:$I$125),IF(K114="N/A",F114,K114*E114))</f>
        <v>0</v>
      </c>
    </row>
    <row r="115" customFormat="false" ht="15" hidden="false" customHeight="false" outlineLevel="0" collapsed="false">
      <c r="A115" s="30" t="n">
        <v>15</v>
      </c>
      <c r="B115" s="44" t="str">
        <f aca="false">Fisico!B47</f>
        <v>P.2.7. CCP diseñados, construidos, equipados y en funcionamiento</v>
      </c>
      <c r="C115" s="44" t="str">
        <f aca="false">Fisico!D47</f>
        <v>Sí</v>
      </c>
      <c r="D115" s="45" t="n">
        <f aca="false">SUMPRODUCT((Financiero!$F$4:$M$4&lt;=Parametros!$C$6)*Financiero!$F$47:$M$47)</f>
        <v>31595000</v>
      </c>
      <c r="E115" s="45" t="n">
        <f aca="false">SUMPRODUCT((Financiero!$F$4:$M$4&lt;Parametros!$C$6)*Financiero!$F$49:$M$49)+SUMPRODUCT((Financiero!$F$4:$M$4=Parametros!$C$6)*Financiero!$F$48:$M$48)</f>
        <v>27741937.04</v>
      </c>
      <c r="F115" s="45" t="n">
        <f aca="false">SUMPRODUCT((Financiero!$F$4:$M$4&lt;=Parametros!$C$6)*Financiero!$F$49:$M$49)+N(Escenarios!H30)</f>
        <v>27823823.5</v>
      </c>
      <c r="G115" s="46" t="n">
        <f aca="false">SUMPRODUCT((Fisico!$F$4:$M$4&lt;=Parametros!$C$6)*Fisico!$F$47:$M$47)</f>
        <v>8</v>
      </c>
      <c r="H115" s="46" t="n">
        <f aca="false">SUMPRODUCT((Fisico!$F$4:$M$4&lt;Parametros!$C$6)*Fisico!$F$49:$M$49)+SUMPRODUCT((Fisico!$F$4:$M$4=Parametros!$C$6)*Fisico!$F$48:$M$48)</f>
        <v>4</v>
      </c>
      <c r="I115" s="46" t="n">
        <f aca="false">SUMPRODUCT((Fisico!$F$4:$M$4&lt;=Parametros!$C$6)*Fisico!$F$49:$M$49)+N(Escenarios!G30)</f>
        <v>4</v>
      </c>
      <c r="J115" s="47" t="n">
        <f aca="false">IF(G115=0,"N/A",I115/G115)</f>
        <v>0.5</v>
      </c>
      <c r="K115" s="47" t="n">
        <f aca="false">IF(H115=0,"N/A",I115/H115)</f>
        <v>1</v>
      </c>
      <c r="L115" s="45" t="n">
        <f aca="false">IF(C115="Sí",SUMIF($A$121:$A$125,A115,$H$121:$H$125),IF(J115="N/A",F115,J115*D115))</f>
        <v>17312500</v>
      </c>
      <c r="M115" s="45" t="n">
        <f aca="false">IF(C115="Sí",SUMIF($A$121:$A$125,A115,$I$121:$I$125),IF(K115="N/A",F115,K115*E115))</f>
        <v>17312500</v>
      </c>
    </row>
    <row r="116" customFormat="false" ht="15" hidden="false" customHeight="false" outlineLevel="0" collapsed="false">
      <c r="B116" s="19" t="s">
        <v>175</v>
      </c>
      <c r="D116" s="48" t="n">
        <f aca="false">IF(SUM(D101:D115)=0,F116,SUM(D101:D115))</f>
        <v>95500000</v>
      </c>
      <c r="E116" s="48" t="n">
        <f aca="false">IF(SUM(E101:E115)=0,F116,SUM(E101:E115))</f>
        <v>84265871.5</v>
      </c>
      <c r="F116" s="48" t="n">
        <f aca="false">SUM(F101:F115)</f>
        <v>81541091.76</v>
      </c>
      <c r="L116" s="48" t="n">
        <f aca="false">IF(SUM(D101:D115)=0,F116,SUM(L101:L115))</f>
        <v>41258690.0728571</v>
      </c>
      <c r="M116" s="48" t="n">
        <f aca="false">IF(SUM(E101:E115)=0,F116,SUM(M101:M115))</f>
        <v>61941158.6664706</v>
      </c>
    </row>
    <row r="120" customFormat="false" ht="35.05" hidden="false" customHeight="false" outlineLevel="0" collapsed="false">
      <c r="A120" s="7" t="s">
        <v>79</v>
      </c>
      <c r="B120" s="7" t="s">
        <v>80</v>
      </c>
      <c r="C120" s="7" t="s">
        <v>176</v>
      </c>
      <c r="D120" s="7" t="s">
        <v>177</v>
      </c>
      <c r="E120" s="7" t="s">
        <v>178</v>
      </c>
      <c r="F120" s="7" t="s">
        <v>179</v>
      </c>
      <c r="G120" s="7" t="s">
        <v>180</v>
      </c>
      <c r="H120" s="7" t="s">
        <v>181</v>
      </c>
      <c r="I120" s="7" t="s">
        <v>182</v>
      </c>
    </row>
    <row r="121" customFormat="false" ht="15" hidden="false" customHeight="false" outlineLevel="0" collapsed="false">
      <c r="A121" s="34" t="n">
        <f aca="false">Hitos!A5</f>
        <v>7</v>
      </c>
      <c r="B121" s="44" t="str">
        <f aca="false">Hitos!B5</f>
        <v>Delegaciones Policiales diseñadas</v>
      </c>
      <c r="C121" s="30" t="n">
        <f aca="false">SUMPRODUCT((Hitos!$D$4:$K$4&lt;=Parametros!$C$6)*Hitos!$D$7:$K$7)</f>
        <v>21</v>
      </c>
      <c r="D121" s="30" t="n">
        <f aca="false">N(Escenarios!E35)</f>
        <v>0</v>
      </c>
      <c r="E121" s="30" t="n">
        <f aca="false">C121+D121</f>
        <v>21</v>
      </c>
      <c r="F121" s="34" t="n">
        <f aca="false">Hitos!L5</f>
        <v>35</v>
      </c>
      <c r="G121" s="34" t="n">
        <f aca="false">Hitos!L6</f>
        <v>21</v>
      </c>
      <c r="H121" s="45" t="n">
        <f aca="false">IF(F121=0,0,E121/F121*Hitos!M5)</f>
        <v>2904000</v>
      </c>
      <c r="I121" s="45" t="n">
        <f aca="false">IF(G121=0,0,E121/G121*Hitos!N5)</f>
        <v>4840000</v>
      </c>
    </row>
    <row r="122" customFormat="false" ht="15" hidden="false" customHeight="false" outlineLevel="0" collapsed="false">
      <c r="A122" s="34" t="n">
        <f aca="false">Hitos!A8</f>
        <v>7</v>
      </c>
      <c r="B122" s="44" t="str">
        <f aca="false">Hitos!B8</f>
        <v>Delegaciones Policiales construidas, equipadas y operando</v>
      </c>
      <c r="C122" s="30" t="n">
        <f aca="false">SUMPRODUCT((Hitos!$D$4:$K$4&lt;=Parametros!$C$6)*Hitos!$D$10:$K$10)</f>
        <v>12</v>
      </c>
      <c r="D122" s="30" t="n">
        <f aca="false">N(Escenarios!E36)</f>
        <v>0</v>
      </c>
      <c r="E122" s="30" t="n">
        <f aca="false">C122+D122</f>
        <v>12</v>
      </c>
      <c r="F122" s="34" t="n">
        <f aca="false">Hitos!L8</f>
        <v>35</v>
      </c>
      <c r="G122" s="34" t="n">
        <f aca="false">Hitos!L9</f>
        <v>17</v>
      </c>
      <c r="H122" s="45" t="n">
        <f aca="false">IF(F122=0,0,E122/F122*Hitos!M8)</f>
        <v>17826696.3428571</v>
      </c>
      <c r="I122" s="45" t="n">
        <f aca="false">IF(G122=0,0,E122/G122*Hitos!N8)</f>
        <v>36702021.1764706</v>
      </c>
    </row>
    <row r="123" customFormat="false" ht="15" hidden="false" customHeight="false" outlineLevel="0" collapsed="false">
      <c r="A123" s="34" t="n">
        <f aca="false">Hitos!A11</f>
        <v>15</v>
      </c>
      <c r="B123" s="44" t="str">
        <f aca="false">Hitos!B11</f>
        <v>CCPs diseñados</v>
      </c>
      <c r="C123" s="30" t="n">
        <f aca="false">SUMPRODUCT((Hitos!$D$4:$K$4&lt;=Parametros!$C$6)*Hitos!$D$13:$K$13)</f>
        <v>8</v>
      </c>
      <c r="D123" s="30" t="n">
        <f aca="false">N(Escenarios!E37)</f>
        <v>0</v>
      </c>
      <c r="E123" s="30" t="n">
        <f aca="false">C123+D123</f>
        <v>8</v>
      </c>
      <c r="F123" s="34" t="n">
        <f aca="false">Hitos!L11</f>
        <v>8</v>
      </c>
      <c r="G123" s="34" t="n">
        <f aca="false">Hitos!L12</f>
        <v>8</v>
      </c>
      <c r="H123" s="45" t="n">
        <f aca="false">IF(F123=0,0,E123/F123*Hitos!M11)</f>
        <v>2300000</v>
      </c>
      <c r="I123" s="45" t="n">
        <f aca="false">IF(G123=0,0,E123/G123*Hitos!N11)</f>
        <v>2300000</v>
      </c>
    </row>
    <row r="124" customFormat="false" ht="15" hidden="false" customHeight="false" outlineLevel="0" collapsed="false">
      <c r="A124" s="34" t="n">
        <f aca="false">Hitos!A14</f>
        <v>15</v>
      </c>
      <c r="B124" s="44" t="str">
        <f aca="false">Hitos!B14</f>
        <v>CCPs construidos, equipados y en funcionamiento</v>
      </c>
      <c r="C124" s="30" t="n">
        <f aca="false">SUMPRODUCT((Hitos!$D$4:$K$4&lt;=Parametros!$C$6)*Hitos!$D$16:$K$16)</f>
        <v>4</v>
      </c>
      <c r="D124" s="30" t="n">
        <f aca="false">N(Escenarios!E38)</f>
        <v>0</v>
      </c>
      <c r="E124" s="30" t="n">
        <f aca="false">C124+D124</f>
        <v>4</v>
      </c>
      <c r="F124" s="34" t="n">
        <f aca="false">Hitos!L14</f>
        <v>8</v>
      </c>
      <c r="G124" s="34" t="n">
        <f aca="false">Hitos!L15</f>
        <v>8</v>
      </c>
      <c r="H124" s="45" t="n">
        <f aca="false">IF(F124=0,0,E124/F124*Hitos!M14)</f>
        <v>14282500</v>
      </c>
      <c r="I124" s="45" t="n">
        <f aca="false">IF(G124=0,0,E124/G124*Hitos!N14)</f>
        <v>14282500</v>
      </c>
    </row>
    <row r="125" customFormat="false" ht="15" hidden="false" customHeight="false" outlineLevel="0" collapsed="false">
      <c r="A125" s="34" t="n">
        <f aca="false">Hitos!A17</f>
        <v>15</v>
      </c>
      <c r="B125" s="44" t="str">
        <f aca="false">Hitos!B17</f>
        <v>Techados de Skate Parks Garabito y Santa Cruz construidos</v>
      </c>
      <c r="C125" s="30" t="n">
        <f aca="false">SUMPRODUCT((Hitos!$D$4:$K$4&lt;=Parametros!$C$6)*Hitos!$D$19:$K$19)</f>
        <v>2</v>
      </c>
      <c r="D125" s="30" t="n">
        <f aca="false">N(Escenarios!E39)</f>
        <v>0</v>
      </c>
      <c r="E125" s="30" t="n">
        <f aca="false">C125+D125</f>
        <v>2</v>
      </c>
      <c r="F125" s="34" t="n">
        <f aca="false">Hitos!L17</f>
        <v>2</v>
      </c>
      <c r="G125" s="34" t="n">
        <f aca="false">Hitos!L18</f>
        <v>2</v>
      </c>
      <c r="H125" s="45" t="n">
        <f aca="false">IF(F125=0,0,E125/F125*Hitos!M17)</f>
        <v>730000</v>
      </c>
      <c r="I125" s="45" t="n">
        <f aca="false">IF(G125=0,0,E125/G125*Hitos!N17)</f>
        <v>730000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8"/>
  </cols>
  <sheetData>
    <row r="1" customFormat="false" ht="15" hidden="false" customHeight="false" outlineLevel="0" collapsed="false">
      <c r="A1" s="28" t="s">
        <v>186</v>
      </c>
    </row>
    <row r="3" customFormat="false" ht="15" hidden="false" customHeight="false" outlineLevel="0" collapsed="false">
      <c r="A3" s="7" t="s">
        <v>29</v>
      </c>
      <c r="B3" s="7" t="s">
        <v>187</v>
      </c>
      <c r="C3" s="7" t="s">
        <v>188</v>
      </c>
    </row>
    <row r="4" customFormat="false" ht="15" hidden="false" customHeight="false" outlineLevel="0" collapsed="false">
      <c r="A4" s="30" t="n">
        <v>0</v>
      </c>
      <c r="B4" s="49" t="n">
        <v>-0.01515</v>
      </c>
      <c r="C4" s="49" t="n">
        <v>-0.08774</v>
      </c>
    </row>
    <row r="5" customFormat="false" ht="15" hidden="false" customHeight="false" outlineLevel="0" collapsed="false">
      <c r="A5" s="30" t="n">
        <v>1</v>
      </c>
      <c r="B5" s="49" t="n">
        <v>-0.0122</v>
      </c>
      <c r="C5" s="49" t="n">
        <v>-0.08479</v>
      </c>
    </row>
    <row r="6" customFormat="false" ht="15" hidden="false" customHeight="false" outlineLevel="0" collapsed="false">
      <c r="A6" s="30" t="n">
        <v>2</v>
      </c>
      <c r="B6" s="49" t="n">
        <v>-0.00911</v>
      </c>
      <c r="C6" s="49" t="n">
        <v>-0.08169</v>
      </c>
    </row>
    <row r="7" customFormat="false" ht="15" hidden="false" customHeight="false" outlineLevel="0" collapsed="false">
      <c r="A7" s="30" t="n">
        <v>3</v>
      </c>
      <c r="B7" s="49" t="n">
        <v>-0.00587</v>
      </c>
      <c r="C7" s="49" t="n">
        <v>-0.07846</v>
      </c>
    </row>
    <row r="8" customFormat="false" ht="15" hidden="false" customHeight="false" outlineLevel="0" collapsed="false">
      <c r="A8" s="30" t="n">
        <v>4</v>
      </c>
      <c r="B8" s="49" t="n">
        <v>-0.00248</v>
      </c>
      <c r="C8" s="49" t="n">
        <v>-0.07506</v>
      </c>
    </row>
    <row r="9" customFormat="false" ht="15" hidden="false" customHeight="false" outlineLevel="0" collapsed="false">
      <c r="A9" s="30" t="n">
        <v>5</v>
      </c>
      <c r="B9" s="49" t="n">
        <v>0.00107</v>
      </c>
      <c r="C9" s="49" t="n">
        <v>-0.07151</v>
      </c>
    </row>
    <row r="10" customFormat="false" ht="15" hidden="false" customHeight="false" outlineLevel="0" collapsed="false">
      <c r="A10" s="30" t="n">
        <v>6</v>
      </c>
      <c r="B10" s="49" t="n">
        <v>0.00478</v>
      </c>
      <c r="C10" s="49" t="n">
        <v>-0.0678</v>
      </c>
    </row>
    <row r="11" customFormat="false" ht="15" hidden="false" customHeight="false" outlineLevel="0" collapsed="false">
      <c r="A11" s="30" t="n">
        <v>7</v>
      </c>
      <c r="B11" s="49" t="n">
        <v>0.00867</v>
      </c>
      <c r="C11" s="49" t="n">
        <v>-0.06391</v>
      </c>
    </row>
    <row r="12" customFormat="false" ht="15" hidden="false" customHeight="false" outlineLevel="0" collapsed="false">
      <c r="A12" s="30" t="n">
        <v>8</v>
      </c>
      <c r="B12" s="49" t="n">
        <v>0.01273</v>
      </c>
      <c r="C12" s="49" t="n">
        <v>-0.05985</v>
      </c>
    </row>
    <row r="13" customFormat="false" ht="15" hidden="false" customHeight="false" outlineLevel="0" collapsed="false">
      <c r="A13" s="30" t="n">
        <v>9</v>
      </c>
      <c r="B13" s="49" t="n">
        <v>0.01698</v>
      </c>
      <c r="C13" s="49" t="n">
        <v>-0.05561</v>
      </c>
    </row>
    <row r="14" customFormat="false" ht="15" hidden="false" customHeight="false" outlineLevel="0" collapsed="false">
      <c r="A14" s="30" t="n">
        <v>10</v>
      </c>
      <c r="B14" s="49" t="n">
        <v>0.02141</v>
      </c>
      <c r="C14" s="49" t="n">
        <v>-0.05117</v>
      </c>
    </row>
    <row r="15" customFormat="false" ht="15" hidden="false" customHeight="false" outlineLevel="0" collapsed="false">
      <c r="A15" s="30" t="n">
        <v>11</v>
      </c>
      <c r="B15" s="49" t="n">
        <v>0.02604</v>
      </c>
      <c r="C15" s="49" t="n">
        <v>-0.04654</v>
      </c>
    </row>
    <row r="16" customFormat="false" ht="15" hidden="false" customHeight="false" outlineLevel="0" collapsed="false">
      <c r="A16" s="30" t="n">
        <v>12</v>
      </c>
      <c r="B16" s="49" t="n">
        <v>0.03088</v>
      </c>
      <c r="C16" s="49" t="n">
        <v>-0.0417</v>
      </c>
    </row>
    <row r="17" customFormat="false" ht="15" hidden="false" customHeight="false" outlineLevel="0" collapsed="false">
      <c r="A17" s="30" t="n">
        <v>13</v>
      </c>
      <c r="B17" s="49" t="n">
        <v>0.03592</v>
      </c>
      <c r="C17" s="49" t="n">
        <v>-0.03666</v>
      </c>
    </row>
    <row r="18" customFormat="false" ht="15" hidden="false" customHeight="false" outlineLevel="0" collapsed="false">
      <c r="A18" s="30" t="n">
        <v>14</v>
      </c>
      <c r="B18" s="49" t="n">
        <v>0.04118</v>
      </c>
      <c r="C18" s="49" t="n">
        <v>-0.0314</v>
      </c>
    </row>
    <row r="19" customFormat="false" ht="15" hidden="false" customHeight="false" outlineLevel="0" collapsed="false">
      <c r="A19" s="30" t="n">
        <v>15</v>
      </c>
      <c r="B19" s="49" t="n">
        <v>0.04665</v>
      </c>
      <c r="C19" s="49" t="n">
        <v>-0.02593</v>
      </c>
    </row>
    <row r="20" customFormat="false" ht="15" hidden="false" customHeight="false" outlineLevel="0" collapsed="false">
      <c r="A20" s="30" t="n">
        <v>16</v>
      </c>
      <c r="B20" s="49" t="n">
        <v>0.05236</v>
      </c>
      <c r="C20" s="49" t="n">
        <v>-0.02022</v>
      </c>
    </row>
    <row r="21" customFormat="false" ht="15" hidden="false" customHeight="false" outlineLevel="0" collapsed="false">
      <c r="A21" s="30" t="n">
        <v>17</v>
      </c>
      <c r="B21" s="49" t="n">
        <v>0.0583</v>
      </c>
      <c r="C21" s="49" t="n">
        <v>-0.01429</v>
      </c>
    </row>
    <row r="22" customFormat="false" ht="15" hidden="false" customHeight="false" outlineLevel="0" collapsed="false">
      <c r="A22" s="30" t="n">
        <v>18</v>
      </c>
      <c r="B22" s="49" t="n">
        <v>0.06447</v>
      </c>
      <c r="C22" s="49" t="n">
        <v>-0.00811</v>
      </c>
    </row>
    <row r="23" customFormat="false" ht="15" hidden="false" customHeight="false" outlineLevel="0" collapsed="false">
      <c r="A23" s="30" t="n">
        <v>19</v>
      </c>
      <c r="B23" s="49" t="n">
        <v>0.07089</v>
      </c>
      <c r="C23" s="49" t="n">
        <v>-0.00169</v>
      </c>
    </row>
    <row r="24" customFormat="false" ht="15" hidden="false" customHeight="false" outlineLevel="0" collapsed="false">
      <c r="A24" s="30" t="n">
        <v>20</v>
      </c>
      <c r="B24" s="49" t="n">
        <v>0.07755</v>
      </c>
      <c r="C24" s="49" t="n">
        <v>0.00497</v>
      </c>
    </row>
    <row r="25" customFormat="false" ht="15" hidden="false" customHeight="false" outlineLevel="0" collapsed="false">
      <c r="A25" s="30" t="n">
        <v>21</v>
      </c>
      <c r="B25" s="49" t="n">
        <v>0.08447</v>
      </c>
      <c r="C25" s="49" t="n">
        <v>0.01189</v>
      </c>
    </row>
    <row r="26" customFormat="false" ht="15" hidden="false" customHeight="false" outlineLevel="0" collapsed="false">
      <c r="A26" s="30" t="n">
        <v>22</v>
      </c>
      <c r="B26" s="49" t="n">
        <v>0.09165</v>
      </c>
      <c r="C26" s="49" t="n">
        <v>0.01907</v>
      </c>
    </row>
    <row r="27" customFormat="false" ht="15" hidden="false" customHeight="false" outlineLevel="0" collapsed="false">
      <c r="A27" s="30" t="n">
        <v>23</v>
      </c>
      <c r="B27" s="49" t="n">
        <v>0.09909</v>
      </c>
      <c r="C27" s="49" t="n">
        <v>0.0265</v>
      </c>
    </row>
    <row r="28" customFormat="false" ht="15" hidden="false" customHeight="false" outlineLevel="0" collapsed="false">
      <c r="A28" s="30" t="n">
        <v>24</v>
      </c>
      <c r="B28" s="49" t="n">
        <v>0.10679</v>
      </c>
      <c r="C28" s="49" t="n">
        <v>0.03421</v>
      </c>
    </row>
    <row r="29" customFormat="false" ht="15" hidden="false" customHeight="false" outlineLevel="0" collapsed="false">
      <c r="A29" s="30" t="n">
        <v>25</v>
      </c>
      <c r="B29" s="49" t="n">
        <v>0.11476</v>
      </c>
      <c r="C29" s="49" t="n">
        <v>0.04217</v>
      </c>
    </row>
    <row r="30" customFormat="false" ht="15" hidden="false" customHeight="false" outlineLevel="0" collapsed="false">
      <c r="A30" s="30" t="n">
        <v>26</v>
      </c>
      <c r="B30" s="49" t="n">
        <v>0.12299</v>
      </c>
      <c r="C30" s="49" t="n">
        <v>0.05041</v>
      </c>
    </row>
    <row r="31" customFormat="false" ht="15" hidden="false" customHeight="false" outlineLevel="0" collapsed="false">
      <c r="A31" s="30" t="n">
        <v>27</v>
      </c>
      <c r="B31" s="49" t="n">
        <v>0.1315</v>
      </c>
      <c r="C31" s="49" t="n">
        <v>0.05892</v>
      </c>
    </row>
    <row r="32" customFormat="false" ht="15" hidden="false" customHeight="false" outlineLevel="0" collapsed="false">
      <c r="A32" s="30" t="n">
        <v>28</v>
      </c>
      <c r="B32" s="49" t="n">
        <v>0.14029</v>
      </c>
      <c r="C32" s="49" t="n">
        <v>0.06771</v>
      </c>
    </row>
    <row r="33" customFormat="false" ht="15" hidden="false" customHeight="false" outlineLevel="0" collapsed="false">
      <c r="A33" s="30" t="n">
        <v>29</v>
      </c>
      <c r="B33" s="49" t="n">
        <v>0.14934</v>
      </c>
      <c r="C33" s="49" t="n">
        <v>0.07676</v>
      </c>
    </row>
    <row r="34" customFormat="false" ht="15" hidden="false" customHeight="false" outlineLevel="0" collapsed="false">
      <c r="A34" s="30" t="n">
        <v>30</v>
      </c>
      <c r="B34" s="49" t="n">
        <v>0.15867</v>
      </c>
      <c r="C34" s="49" t="n">
        <v>0.08609</v>
      </c>
    </row>
    <row r="35" customFormat="false" ht="15" hidden="false" customHeight="false" outlineLevel="0" collapsed="false">
      <c r="A35" s="30" t="n">
        <v>31</v>
      </c>
      <c r="B35" s="49" t="n">
        <v>0.16827</v>
      </c>
      <c r="C35" s="49" t="n">
        <v>0.09568</v>
      </c>
    </row>
    <row r="36" customFormat="false" ht="15" hidden="false" customHeight="false" outlineLevel="0" collapsed="false">
      <c r="A36" s="30" t="n">
        <v>32</v>
      </c>
      <c r="B36" s="49" t="n">
        <v>0.17813</v>
      </c>
      <c r="C36" s="49" t="n">
        <v>0.10555</v>
      </c>
    </row>
    <row r="37" customFormat="false" ht="15" hidden="false" customHeight="false" outlineLevel="0" collapsed="false">
      <c r="A37" s="30" t="n">
        <v>33</v>
      </c>
      <c r="B37" s="49" t="n">
        <v>0.18826</v>
      </c>
      <c r="C37" s="49" t="n">
        <v>0.11568</v>
      </c>
    </row>
    <row r="38" customFormat="false" ht="15" hidden="false" customHeight="false" outlineLevel="0" collapsed="false">
      <c r="A38" s="30" t="n">
        <v>34</v>
      </c>
      <c r="B38" s="49" t="n">
        <v>0.19866</v>
      </c>
      <c r="C38" s="49" t="n">
        <v>0.12607</v>
      </c>
    </row>
    <row r="39" customFormat="false" ht="15" hidden="false" customHeight="false" outlineLevel="0" collapsed="false">
      <c r="A39" s="30" t="n">
        <v>35</v>
      </c>
      <c r="B39" s="49" t="n">
        <v>0.2093</v>
      </c>
      <c r="C39" s="49" t="n">
        <v>0.13672</v>
      </c>
    </row>
    <row r="40" customFormat="false" ht="15" hidden="false" customHeight="false" outlineLevel="0" collapsed="false">
      <c r="A40" s="30" t="n">
        <v>36</v>
      </c>
      <c r="B40" s="49" t="n">
        <v>0.2202</v>
      </c>
      <c r="C40" s="49" t="n">
        <v>0.14762</v>
      </c>
    </row>
    <row r="41" customFormat="false" ht="15" hidden="false" customHeight="false" outlineLevel="0" collapsed="false">
      <c r="A41" s="30" t="n">
        <v>37</v>
      </c>
      <c r="B41" s="49" t="n">
        <v>0.23134</v>
      </c>
      <c r="C41" s="49" t="n">
        <v>0.15876</v>
      </c>
    </row>
    <row r="42" customFormat="false" ht="15" hidden="false" customHeight="false" outlineLevel="0" collapsed="false">
      <c r="A42" s="30" t="n">
        <v>38</v>
      </c>
      <c r="B42" s="49" t="n">
        <v>0.24272</v>
      </c>
      <c r="C42" s="49" t="n">
        <v>0.17014</v>
      </c>
    </row>
    <row r="43" customFormat="false" ht="15" hidden="false" customHeight="false" outlineLevel="0" collapsed="false">
      <c r="A43" s="30" t="n">
        <v>39</v>
      </c>
      <c r="B43" s="49" t="n">
        <v>0.25432</v>
      </c>
      <c r="C43" s="49" t="n">
        <v>0.18174</v>
      </c>
    </row>
    <row r="44" customFormat="false" ht="15" hidden="false" customHeight="false" outlineLevel="0" collapsed="false">
      <c r="A44" s="30" t="n">
        <v>40</v>
      </c>
      <c r="B44" s="49" t="n">
        <v>0.26614</v>
      </c>
      <c r="C44" s="49" t="n">
        <v>0.19356</v>
      </c>
    </row>
    <row r="45" customFormat="false" ht="15" hidden="false" customHeight="false" outlineLevel="0" collapsed="false">
      <c r="A45" s="30" t="n">
        <v>41</v>
      </c>
      <c r="B45" s="49" t="n">
        <v>0.27816</v>
      </c>
      <c r="C45" s="49" t="n">
        <v>0.20558</v>
      </c>
    </row>
    <row r="46" customFormat="false" ht="15" hidden="false" customHeight="false" outlineLevel="0" collapsed="false">
      <c r="A46" s="30" t="n">
        <v>42</v>
      </c>
      <c r="B46" s="49" t="n">
        <v>0.29038</v>
      </c>
      <c r="C46" s="49" t="n">
        <v>0.2178</v>
      </c>
    </row>
    <row r="47" customFormat="false" ht="15" hidden="false" customHeight="false" outlineLevel="0" collapsed="false">
      <c r="A47" s="30" t="n">
        <v>43</v>
      </c>
      <c r="B47" s="49" t="n">
        <v>0.30277</v>
      </c>
      <c r="C47" s="49" t="n">
        <v>0.23019</v>
      </c>
    </row>
    <row r="48" customFormat="false" ht="15" hidden="false" customHeight="false" outlineLevel="0" collapsed="false">
      <c r="A48" s="30" t="n">
        <v>44</v>
      </c>
      <c r="B48" s="49" t="n">
        <v>0.31533</v>
      </c>
      <c r="C48" s="49" t="n">
        <v>0.24275</v>
      </c>
    </row>
    <row r="49" customFormat="false" ht="15" hidden="false" customHeight="false" outlineLevel="0" collapsed="false">
      <c r="A49" s="30" t="n">
        <v>45</v>
      </c>
      <c r="B49" s="49" t="n">
        <v>0.32805</v>
      </c>
      <c r="C49" s="49" t="n">
        <v>0.25546</v>
      </c>
    </row>
    <row r="50" customFormat="false" ht="15" hidden="false" customHeight="false" outlineLevel="0" collapsed="false">
      <c r="A50" s="30" t="n">
        <v>46</v>
      </c>
      <c r="B50" s="49" t="n">
        <v>0.34089</v>
      </c>
      <c r="C50" s="49" t="n">
        <v>0.26831</v>
      </c>
    </row>
    <row r="51" customFormat="false" ht="15" hidden="false" customHeight="false" outlineLevel="0" collapsed="false">
      <c r="A51" s="30" t="n">
        <v>47</v>
      </c>
      <c r="B51" s="49" t="n">
        <v>0.35386</v>
      </c>
      <c r="C51" s="49" t="n">
        <v>0.28128</v>
      </c>
    </row>
    <row r="52" customFormat="false" ht="15" hidden="false" customHeight="false" outlineLevel="0" collapsed="false">
      <c r="A52" s="30" t="n">
        <v>48</v>
      </c>
      <c r="B52" s="49" t="n">
        <v>0.36692</v>
      </c>
      <c r="C52" s="49" t="n">
        <v>0.29434</v>
      </c>
    </row>
    <row r="53" customFormat="false" ht="15" hidden="false" customHeight="false" outlineLevel="0" collapsed="false">
      <c r="A53" s="30" t="n">
        <v>49</v>
      </c>
      <c r="B53" s="49" t="n">
        <v>0.38008</v>
      </c>
      <c r="C53" s="49" t="n">
        <v>0.30749</v>
      </c>
    </row>
    <row r="54" customFormat="false" ht="15" hidden="false" customHeight="false" outlineLevel="0" collapsed="false">
      <c r="A54" s="30" t="n">
        <v>50</v>
      </c>
      <c r="B54" s="49" t="n">
        <v>0.39329</v>
      </c>
      <c r="C54" s="49" t="n">
        <v>0.32071</v>
      </c>
    </row>
    <row r="55" customFormat="false" ht="15" hidden="false" customHeight="false" outlineLevel="0" collapsed="false">
      <c r="A55" s="30" t="n">
        <v>51</v>
      </c>
      <c r="B55" s="49" t="n">
        <v>0.40656</v>
      </c>
      <c r="C55" s="49" t="n">
        <v>0.33398</v>
      </c>
    </row>
    <row r="56" customFormat="false" ht="15" hidden="false" customHeight="false" outlineLevel="0" collapsed="false">
      <c r="A56" s="30" t="n">
        <v>52</v>
      </c>
      <c r="B56" s="49" t="n">
        <v>0.41985</v>
      </c>
      <c r="C56" s="49" t="n">
        <v>0.34727</v>
      </c>
    </row>
    <row r="57" customFormat="false" ht="15" hidden="false" customHeight="false" outlineLevel="0" collapsed="false">
      <c r="A57" s="30" t="n">
        <v>53</v>
      </c>
      <c r="B57" s="49" t="n">
        <v>0.43316</v>
      </c>
      <c r="C57" s="49" t="n">
        <v>0.36058</v>
      </c>
    </row>
    <row r="58" customFormat="false" ht="15" hidden="false" customHeight="false" outlineLevel="0" collapsed="false">
      <c r="A58" s="30" t="n">
        <v>54</v>
      </c>
      <c r="B58" s="49" t="n">
        <v>0.44646</v>
      </c>
      <c r="C58" s="49" t="n">
        <v>0.37388</v>
      </c>
    </row>
    <row r="59" customFormat="false" ht="15" hidden="false" customHeight="false" outlineLevel="0" collapsed="false">
      <c r="A59" s="30" t="n">
        <v>55</v>
      </c>
      <c r="B59" s="49" t="n">
        <v>0.45973</v>
      </c>
      <c r="C59" s="49" t="n">
        <v>0.38715</v>
      </c>
    </row>
    <row r="60" customFormat="false" ht="15" hidden="false" customHeight="false" outlineLevel="0" collapsed="false">
      <c r="A60" s="30" t="n">
        <v>56</v>
      </c>
      <c r="B60" s="49" t="n">
        <v>0.47296</v>
      </c>
      <c r="C60" s="49" t="n">
        <v>0.40037</v>
      </c>
    </row>
    <row r="61" customFormat="false" ht="15" hidden="false" customHeight="false" outlineLevel="0" collapsed="false">
      <c r="A61" s="30" t="n">
        <v>57</v>
      </c>
      <c r="B61" s="49" t="n">
        <v>0.48612</v>
      </c>
      <c r="C61" s="49" t="n">
        <v>0.41354</v>
      </c>
    </row>
    <row r="62" customFormat="false" ht="15" hidden="false" customHeight="false" outlineLevel="0" collapsed="false">
      <c r="A62" s="30" t="n">
        <v>58</v>
      </c>
      <c r="B62" s="49" t="n">
        <v>0.4992</v>
      </c>
      <c r="C62" s="49" t="n">
        <v>0.42662</v>
      </c>
    </row>
    <row r="63" customFormat="false" ht="15" hidden="false" customHeight="false" outlineLevel="0" collapsed="false">
      <c r="A63" s="30" t="n">
        <v>59</v>
      </c>
      <c r="B63" s="49" t="n">
        <v>0.51218</v>
      </c>
      <c r="C63" s="49" t="n">
        <v>0.4396</v>
      </c>
    </row>
    <row r="64" customFormat="false" ht="15" hidden="false" customHeight="false" outlineLevel="0" collapsed="false">
      <c r="A64" s="30" t="n">
        <v>60</v>
      </c>
      <c r="B64" s="49" t="n">
        <v>0.52504</v>
      </c>
      <c r="C64" s="49" t="n">
        <v>0.45246</v>
      </c>
    </row>
    <row r="65" customFormat="false" ht="15" hidden="false" customHeight="false" outlineLevel="0" collapsed="false">
      <c r="A65" s="30" t="n">
        <v>61</v>
      </c>
      <c r="B65" s="49" t="n">
        <v>0.53777</v>
      </c>
      <c r="C65" s="49" t="n">
        <v>0.46519</v>
      </c>
    </row>
    <row r="66" customFormat="false" ht="15" hidden="false" customHeight="false" outlineLevel="0" collapsed="false">
      <c r="A66" s="30" t="n">
        <v>62</v>
      </c>
      <c r="B66" s="49" t="n">
        <v>0.55035</v>
      </c>
      <c r="C66" s="49" t="n">
        <v>0.47777</v>
      </c>
    </row>
    <row r="67" customFormat="false" ht="15" hidden="false" customHeight="false" outlineLevel="0" collapsed="false">
      <c r="A67" s="30" t="n">
        <v>63</v>
      </c>
      <c r="B67" s="49" t="n">
        <v>0.56277</v>
      </c>
      <c r="C67" s="49" t="n">
        <v>0.49019</v>
      </c>
    </row>
    <row r="68" customFormat="false" ht="15" hidden="false" customHeight="false" outlineLevel="0" collapsed="false">
      <c r="A68" s="30" t="n">
        <v>64</v>
      </c>
      <c r="B68" s="49" t="n">
        <v>0.57501</v>
      </c>
      <c r="C68" s="49" t="n">
        <v>0.50243</v>
      </c>
    </row>
    <row r="69" customFormat="false" ht="15" hidden="false" customHeight="false" outlineLevel="0" collapsed="false">
      <c r="A69" s="30" t="n">
        <v>65</v>
      </c>
      <c r="B69" s="49" t="n">
        <v>0.58706</v>
      </c>
      <c r="C69" s="49" t="n">
        <v>0.51448</v>
      </c>
    </row>
    <row r="70" customFormat="false" ht="15" hidden="false" customHeight="false" outlineLevel="0" collapsed="false">
      <c r="A70" s="30" t="n">
        <v>66</v>
      </c>
      <c r="B70" s="49" t="n">
        <v>0.59891</v>
      </c>
      <c r="C70" s="49" t="n">
        <v>0.52633</v>
      </c>
    </row>
    <row r="71" customFormat="false" ht="15" hidden="false" customHeight="false" outlineLevel="0" collapsed="false">
      <c r="A71" s="30" t="n">
        <v>67</v>
      </c>
      <c r="B71" s="49" t="n">
        <v>0.61054</v>
      </c>
      <c r="C71" s="49" t="n">
        <v>0.53796</v>
      </c>
    </row>
    <row r="72" customFormat="false" ht="15" hidden="false" customHeight="false" outlineLevel="0" collapsed="false">
      <c r="A72" s="30" t="n">
        <v>68</v>
      </c>
      <c r="B72" s="49" t="n">
        <v>0.62195</v>
      </c>
      <c r="C72" s="49" t="n">
        <v>0.54937</v>
      </c>
    </row>
    <row r="73" customFormat="false" ht="15" hidden="false" customHeight="false" outlineLevel="0" collapsed="false">
      <c r="A73" s="30" t="n">
        <v>69</v>
      </c>
      <c r="B73" s="49" t="n">
        <v>0.63312</v>
      </c>
      <c r="C73" s="49" t="n">
        <v>0.56054</v>
      </c>
    </row>
    <row r="74" customFormat="false" ht="15" hidden="false" customHeight="false" outlineLevel="0" collapsed="false">
      <c r="A74" s="30" t="n">
        <v>70</v>
      </c>
      <c r="B74" s="49" t="n">
        <v>0.64406</v>
      </c>
      <c r="C74" s="49" t="n">
        <v>0.57147</v>
      </c>
    </row>
    <row r="75" customFormat="false" ht="15" hidden="false" customHeight="false" outlineLevel="0" collapsed="false">
      <c r="A75" s="30" t="n">
        <v>71</v>
      </c>
      <c r="B75" s="49" t="n">
        <v>0.65474</v>
      </c>
      <c r="C75" s="49" t="n">
        <v>0.58216</v>
      </c>
    </row>
    <row r="76" customFormat="false" ht="15" hidden="false" customHeight="false" outlineLevel="0" collapsed="false">
      <c r="A76" s="30" t="n">
        <v>72</v>
      </c>
      <c r="B76" s="49" t="n">
        <v>0.66517</v>
      </c>
      <c r="C76" s="49" t="n">
        <v>0.59259</v>
      </c>
    </row>
    <row r="77" customFormat="false" ht="15" hidden="false" customHeight="false" outlineLevel="0" collapsed="false">
      <c r="A77" s="30" t="n">
        <v>73</v>
      </c>
      <c r="B77" s="49" t="n">
        <v>0.67533</v>
      </c>
      <c r="C77" s="49" t="n">
        <v>0.60275</v>
      </c>
    </row>
    <row r="78" customFormat="false" ht="15" hidden="false" customHeight="false" outlineLevel="0" collapsed="false">
      <c r="A78" s="30" t="n">
        <v>74</v>
      </c>
      <c r="B78" s="49" t="n">
        <v>0.68524</v>
      </c>
      <c r="C78" s="49" t="n">
        <v>0.61266</v>
      </c>
    </row>
    <row r="79" customFormat="false" ht="15" hidden="false" customHeight="false" outlineLevel="0" collapsed="false">
      <c r="A79" s="30" t="n">
        <v>75</v>
      </c>
      <c r="B79" s="49" t="n">
        <v>0.69487</v>
      </c>
      <c r="C79" s="49" t="n">
        <v>0.62229</v>
      </c>
    </row>
    <row r="80" customFormat="false" ht="15" hidden="false" customHeight="false" outlineLevel="0" collapsed="false">
      <c r="A80" s="30" t="n">
        <v>76</v>
      </c>
      <c r="B80" s="49" t="n">
        <v>0.70424</v>
      </c>
      <c r="C80" s="49" t="n">
        <v>0.63165</v>
      </c>
    </row>
    <row r="81" customFormat="false" ht="15" hidden="false" customHeight="false" outlineLevel="0" collapsed="false">
      <c r="A81" s="30" t="n">
        <v>77</v>
      </c>
      <c r="B81" s="49" t="n">
        <v>0.71333</v>
      </c>
      <c r="C81" s="49" t="n">
        <v>0.64075</v>
      </c>
    </row>
    <row r="82" customFormat="false" ht="15" hidden="false" customHeight="false" outlineLevel="0" collapsed="false">
      <c r="A82" s="30" t="n">
        <v>78</v>
      </c>
      <c r="B82" s="49" t="n">
        <v>0.72215</v>
      </c>
      <c r="C82" s="49" t="n">
        <v>0.64957</v>
      </c>
    </row>
    <row r="83" customFormat="false" ht="15" hidden="false" customHeight="false" outlineLevel="0" collapsed="false">
      <c r="A83" s="30" t="n">
        <v>79</v>
      </c>
      <c r="B83" s="49" t="n">
        <v>0.73069</v>
      </c>
      <c r="C83" s="49" t="n">
        <v>0.65811</v>
      </c>
    </row>
    <row r="84" customFormat="false" ht="15" hidden="false" customHeight="false" outlineLevel="0" collapsed="false">
      <c r="A84" s="30" t="n">
        <v>80</v>
      </c>
      <c r="B84" s="49" t="n">
        <v>0.73897</v>
      </c>
      <c r="C84" s="49" t="n">
        <v>0.66639</v>
      </c>
    </row>
    <row r="85" customFormat="false" ht="15" hidden="false" customHeight="false" outlineLevel="0" collapsed="false">
      <c r="A85" s="30" t="n">
        <v>81</v>
      </c>
      <c r="B85" s="49" t="n">
        <v>0.74698</v>
      </c>
      <c r="C85" s="49" t="n">
        <v>0.67439</v>
      </c>
    </row>
    <row r="86" customFormat="false" ht="15" hidden="false" customHeight="false" outlineLevel="0" collapsed="false">
      <c r="A86" s="30" t="n">
        <v>82</v>
      </c>
      <c r="B86" s="49" t="n">
        <v>0.75471</v>
      </c>
      <c r="C86" s="49" t="n">
        <v>0.68213</v>
      </c>
    </row>
    <row r="87" customFormat="false" ht="15" hidden="false" customHeight="false" outlineLevel="0" collapsed="false">
      <c r="A87" s="30" t="n">
        <v>83</v>
      </c>
      <c r="B87" s="49" t="n">
        <v>0.76219</v>
      </c>
      <c r="C87" s="49" t="n">
        <v>0.68961</v>
      </c>
    </row>
    <row r="88" customFormat="false" ht="15" hidden="false" customHeight="false" outlineLevel="0" collapsed="false">
      <c r="A88" s="30" t="n">
        <v>84</v>
      </c>
      <c r="B88" s="49" t="n">
        <v>0.7694</v>
      </c>
      <c r="C88" s="49" t="n">
        <v>0.69682</v>
      </c>
    </row>
    <row r="89" customFormat="false" ht="15" hidden="false" customHeight="false" outlineLevel="0" collapsed="false">
      <c r="A89" s="30" t="n">
        <v>85</v>
      </c>
      <c r="B89" s="49" t="n">
        <v>0.77635</v>
      </c>
      <c r="C89" s="49" t="n">
        <v>0.70377</v>
      </c>
    </row>
    <row r="90" customFormat="false" ht="15" hidden="false" customHeight="false" outlineLevel="0" collapsed="false">
      <c r="A90" s="30" t="n">
        <v>86</v>
      </c>
      <c r="B90" s="49" t="n">
        <v>0.78305</v>
      </c>
      <c r="C90" s="49" t="n">
        <v>0.71047</v>
      </c>
    </row>
    <row r="91" customFormat="false" ht="15" hidden="false" customHeight="false" outlineLevel="0" collapsed="false">
      <c r="A91" s="30" t="n">
        <v>87</v>
      </c>
      <c r="B91" s="49" t="n">
        <v>0.7895</v>
      </c>
      <c r="C91" s="49" t="n">
        <v>0.71692</v>
      </c>
    </row>
    <row r="92" customFormat="false" ht="15" hidden="false" customHeight="false" outlineLevel="0" collapsed="false">
      <c r="A92" s="30" t="n">
        <v>88</v>
      </c>
      <c r="B92" s="49" t="n">
        <v>0.79571</v>
      </c>
      <c r="C92" s="49" t="n">
        <v>0.72313</v>
      </c>
    </row>
    <row r="93" customFormat="false" ht="15" hidden="false" customHeight="false" outlineLevel="0" collapsed="false">
      <c r="A93" s="30" t="n">
        <v>89</v>
      </c>
      <c r="B93" s="49" t="n">
        <v>0.80168</v>
      </c>
      <c r="C93" s="49" t="n">
        <v>0.7291</v>
      </c>
    </row>
    <row r="94" customFormat="false" ht="15" hidden="false" customHeight="false" outlineLevel="0" collapsed="false">
      <c r="A94" s="30" t="n">
        <v>90</v>
      </c>
      <c r="B94" s="49" t="n">
        <v>0.80742</v>
      </c>
      <c r="C94" s="49" t="n">
        <v>0.73483</v>
      </c>
    </row>
    <row r="95" customFormat="false" ht="15" hidden="false" customHeight="false" outlineLevel="0" collapsed="false">
      <c r="A95" s="30" t="n">
        <v>91</v>
      </c>
      <c r="B95" s="49" t="n">
        <v>0.81292</v>
      </c>
      <c r="C95" s="49" t="n">
        <v>0.74034</v>
      </c>
    </row>
    <row r="96" customFormat="false" ht="15" hidden="false" customHeight="false" outlineLevel="0" collapsed="false">
      <c r="A96" s="30" t="n">
        <v>92</v>
      </c>
      <c r="B96" s="49" t="n">
        <v>0.81821</v>
      </c>
      <c r="C96" s="49" t="n">
        <v>0.74563</v>
      </c>
    </row>
    <row r="97" customFormat="false" ht="15" hidden="false" customHeight="false" outlineLevel="0" collapsed="false">
      <c r="A97" s="30" t="n">
        <v>93</v>
      </c>
      <c r="B97" s="49" t="n">
        <v>0.82328</v>
      </c>
      <c r="C97" s="49" t="n">
        <v>0.7507</v>
      </c>
    </row>
    <row r="98" customFormat="false" ht="15" hidden="false" customHeight="false" outlineLevel="0" collapsed="false">
      <c r="A98" s="30" t="n">
        <v>94</v>
      </c>
      <c r="B98" s="49" t="n">
        <v>0.82814</v>
      </c>
      <c r="C98" s="49" t="n">
        <v>0.75556</v>
      </c>
    </row>
    <row r="99" customFormat="false" ht="15" hidden="false" customHeight="false" outlineLevel="0" collapsed="false">
      <c r="A99" s="30" t="n">
        <v>95</v>
      </c>
      <c r="B99" s="49" t="n">
        <v>0.8328</v>
      </c>
      <c r="C99" s="49" t="n">
        <v>0.76022</v>
      </c>
    </row>
    <row r="100" customFormat="false" ht="15" hidden="false" customHeight="false" outlineLevel="0" collapsed="false">
      <c r="A100" s="30" t="n">
        <v>96</v>
      </c>
      <c r="B100" s="49" t="n">
        <v>0.83727</v>
      </c>
      <c r="C100" s="49" t="n">
        <v>0.76468</v>
      </c>
    </row>
    <row r="101" customFormat="false" ht="15" hidden="false" customHeight="false" outlineLevel="0" collapsed="false">
      <c r="A101" s="30" t="n">
        <v>97</v>
      </c>
      <c r="B101" s="49" t="n">
        <v>0.84154</v>
      </c>
      <c r="C101" s="49" t="n">
        <v>0.76896</v>
      </c>
    </row>
    <row r="102" customFormat="false" ht="15" hidden="false" customHeight="false" outlineLevel="0" collapsed="false">
      <c r="A102" s="30" t="n">
        <v>98</v>
      </c>
      <c r="B102" s="49" t="n">
        <v>0.84562</v>
      </c>
      <c r="C102" s="49" t="n">
        <v>0.77304</v>
      </c>
    </row>
    <row r="103" customFormat="false" ht="15" hidden="false" customHeight="false" outlineLevel="0" collapsed="false">
      <c r="A103" s="30" t="n">
        <v>99</v>
      </c>
      <c r="B103" s="49" t="n">
        <v>0.84953</v>
      </c>
      <c r="C103" s="49" t="n">
        <v>0.77695</v>
      </c>
    </row>
    <row r="104" customFormat="false" ht="15" hidden="false" customHeight="false" outlineLevel="0" collapsed="false">
      <c r="A104" s="30" t="n">
        <v>100</v>
      </c>
      <c r="B104" s="49" t="n">
        <v>0.85327</v>
      </c>
      <c r="C104" s="49" t="n">
        <v>0.78069</v>
      </c>
    </row>
    <row r="105" customFormat="false" ht="15" hidden="false" customHeight="false" outlineLevel="0" collapsed="false">
      <c r="A105" s="30" t="n">
        <v>101</v>
      </c>
      <c r="B105" s="49" t="n">
        <v>0.85684</v>
      </c>
      <c r="C105" s="49" t="n">
        <v>0.78426</v>
      </c>
    </row>
    <row r="106" customFormat="false" ht="15" hidden="false" customHeight="false" outlineLevel="0" collapsed="false">
      <c r="A106" s="30" t="n">
        <v>102</v>
      </c>
      <c r="B106" s="49" t="n">
        <v>0.86026</v>
      </c>
      <c r="C106" s="49" t="n">
        <v>0.78768</v>
      </c>
    </row>
    <row r="107" customFormat="false" ht="15" hidden="false" customHeight="false" outlineLevel="0" collapsed="false">
      <c r="A107" s="30" t="n">
        <v>103</v>
      </c>
      <c r="B107" s="49" t="n">
        <v>0.86352</v>
      </c>
      <c r="C107" s="49" t="n">
        <v>0.79094</v>
      </c>
    </row>
    <row r="108" customFormat="false" ht="15" hidden="false" customHeight="false" outlineLevel="0" collapsed="false">
      <c r="A108" s="30" t="n">
        <v>104</v>
      </c>
      <c r="B108" s="49" t="n">
        <v>0.86663</v>
      </c>
      <c r="C108" s="49" t="n">
        <v>0.79405</v>
      </c>
    </row>
    <row r="109" customFormat="false" ht="15" hidden="false" customHeight="false" outlineLevel="0" collapsed="false">
      <c r="A109" s="30" t="n">
        <v>105</v>
      </c>
      <c r="B109" s="49" t="n">
        <v>0.8696</v>
      </c>
      <c r="C109" s="49" t="n">
        <v>0.79702</v>
      </c>
    </row>
    <row r="110" customFormat="false" ht="15" hidden="false" customHeight="false" outlineLevel="0" collapsed="false">
      <c r="A110" s="30" t="n">
        <v>106</v>
      </c>
      <c r="B110" s="49" t="n">
        <v>0.87243</v>
      </c>
      <c r="C110" s="49" t="n">
        <v>0.79985</v>
      </c>
    </row>
    <row r="111" customFormat="false" ht="15" hidden="false" customHeight="false" outlineLevel="0" collapsed="false">
      <c r="A111" s="30" t="n">
        <v>107</v>
      </c>
      <c r="B111" s="49" t="n">
        <v>0.87513</v>
      </c>
      <c r="C111" s="49" t="n">
        <v>0.80255</v>
      </c>
    </row>
    <row r="112" customFormat="false" ht="15" hidden="false" customHeight="false" outlineLevel="0" collapsed="false">
      <c r="A112" s="30" t="n">
        <v>108</v>
      </c>
      <c r="B112" s="49" t="n">
        <v>0.87771</v>
      </c>
      <c r="C112" s="49" t="n">
        <v>0.80512</v>
      </c>
    </row>
    <row r="113" customFormat="false" ht="15" hidden="false" customHeight="false" outlineLevel="0" collapsed="false">
      <c r="A113" s="30" t="n">
        <v>109</v>
      </c>
      <c r="B113" s="49" t="n">
        <v>0.88016</v>
      </c>
      <c r="C113" s="49" t="n">
        <v>0.80758</v>
      </c>
    </row>
    <row r="114" customFormat="false" ht="15" hidden="false" customHeight="false" outlineLevel="0" collapsed="false">
      <c r="A114" s="30" t="n">
        <v>110</v>
      </c>
      <c r="B114" s="49" t="n">
        <v>0.8825</v>
      </c>
      <c r="C114" s="49" t="n">
        <v>0.80992</v>
      </c>
    </row>
    <row r="115" customFormat="false" ht="15" hidden="false" customHeight="false" outlineLevel="0" collapsed="false">
      <c r="A115" s="30" t="n">
        <v>111</v>
      </c>
      <c r="B115" s="49" t="n">
        <v>0.88473</v>
      </c>
      <c r="C115" s="49" t="n">
        <v>0.81215</v>
      </c>
    </row>
    <row r="116" customFormat="false" ht="15" hidden="false" customHeight="false" outlineLevel="0" collapsed="false">
      <c r="A116" s="30" t="n">
        <v>112</v>
      </c>
      <c r="B116" s="49" t="n">
        <v>0.88685</v>
      </c>
      <c r="C116" s="49" t="n">
        <v>0.81427</v>
      </c>
    </row>
    <row r="117" customFormat="false" ht="15" hidden="false" customHeight="false" outlineLevel="0" collapsed="false">
      <c r="A117" s="30" t="n">
        <v>113</v>
      </c>
      <c r="B117" s="49" t="n">
        <v>0.88887</v>
      </c>
      <c r="C117" s="49" t="n">
        <v>0.81629</v>
      </c>
    </row>
    <row r="118" customFormat="false" ht="15" hidden="false" customHeight="false" outlineLevel="0" collapsed="false">
      <c r="A118" s="30" t="n">
        <v>114</v>
      </c>
      <c r="B118" s="49" t="n">
        <v>0.8908</v>
      </c>
      <c r="C118" s="49" t="n">
        <v>0.81822</v>
      </c>
    </row>
    <row r="119" customFormat="false" ht="15" hidden="false" customHeight="false" outlineLevel="0" collapsed="false">
      <c r="A119" s="30" t="n">
        <v>115</v>
      </c>
      <c r="B119" s="49" t="n">
        <v>0.89263</v>
      </c>
      <c r="C119" s="49" t="n">
        <v>0.82005</v>
      </c>
    </row>
    <row r="120" customFormat="false" ht="15" hidden="false" customHeight="false" outlineLevel="0" collapsed="false">
      <c r="A120" s="30" t="n">
        <v>116</v>
      </c>
      <c r="B120" s="49" t="n">
        <v>0.89438</v>
      </c>
      <c r="C120" s="49" t="n">
        <v>0.82179</v>
      </c>
    </row>
    <row r="121" customFormat="false" ht="15" hidden="false" customHeight="false" outlineLevel="0" collapsed="false">
      <c r="A121" s="30" t="n">
        <v>117</v>
      </c>
      <c r="B121" s="49" t="n">
        <v>0.89603</v>
      </c>
      <c r="C121" s="49" t="n">
        <v>0.82345</v>
      </c>
    </row>
    <row r="122" customFormat="false" ht="15" hidden="false" customHeight="false" outlineLevel="0" collapsed="false">
      <c r="A122" s="30" t="n">
        <v>118</v>
      </c>
      <c r="B122" s="49" t="n">
        <v>0.89761</v>
      </c>
      <c r="C122" s="49" t="n">
        <v>0.82503</v>
      </c>
    </row>
    <row r="123" customFormat="false" ht="15" hidden="false" customHeight="false" outlineLevel="0" collapsed="false">
      <c r="A123" s="30" t="n">
        <v>119</v>
      </c>
      <c r="B123" s="49" t="n">
        <v>0.89911</v>
      </c>
      <c r="C123" s="49" t="n">
        <v>0.82653</v>
      </c>
    </row>
    <row r="124" customFormat="false" ht="15" hidden="false" customHeight="false" outlineLevel="0" collapsed="false">
      <c r="A124" s="30" t="n">
        <v>120</v>
      </c>
      <c r="B124" s="49" t="n">
        <v>0.90054</v>
      </c>
      <c r="C124" s="49" t="n">
        <v>0.82796</v>
      </c>
    </row>
    <row r="125" customFormat="false" ht="15" hidden="false" customHeight="false" outlineLevel="0" collapsed="false">
      <c r="A125" s="30" t="n">
        <v>121</v>
      </c>
      <c r="B125" s="49" t="n">
        <v>0.9019</v>
      </c>
      <c r="C125" s="49" t="n">
        <v>0.82932</v>
      </c>
    </row>
    <row r="126" customFormat="false" ht="15" hidden="false" customHeight="false" outlineLevel="0" collapsed="false">
      <c r="A126" s="30" t="n">
        <v>122</v>
      </c>
      <c r="B126" s="49" t="n">
        <v>0.90319</v>
      </c>
      <c r="C126" s="49" t="n">
        <v>0.83061</v>
      </c>
    </row>
    <row r="127" customFormat="false" ht="15" hidden="false" customHeight="false" outlineLevel="0" collapsed="false">
      <c r="A127" s="30" t="n">
        <v>123</v>
      </c>
      <c r="B127" s="49" t="n">
        <v>0.90442</v>
      </c>
      <c r="C127" s="49" t="n">
        <v>0.83184</v>
      </c>
    </row>
    <row r="128" customFormat="false" ht="15" hidden="false" customHeight="false" outlineLevel="0" collapsed="false">
      <c r="A128" s="30" t="n">
        <v>124</v>
      </c>
      <c r="B128" s="49" t="n">
        <v>0.90558</v>
      </c>
      <c r="C128" s="49" t="n">
        <v>0.833</v>
      </c>
    </row>
    <row r="129" customFormat="false" ht="15" hidden="false" customHeight="false" outlineLevel="0" collapsed="false">
      <c r="A129" s="30" t="n">
        <v>125</v>
      </c>
      <c r="B129" s="49" t="n">
        <v>0.90669</v>
      </c>
      <c r="C129" s="49" t="n">
        <v>0.83411</v>
      </c>
    </row>
    <row r="130" customFormat="false" ht="15" hidden="false" customHeight="false" outlineLevel="0" collapsed="false">
      <c r="A130" s="30" t="n">
        <v>126</v>
      </c>
      <c r="B130" s="49" t="n">
        <v>0.90775</v>
      </c>
      <c r="C130" s="49" t="n">
        <v>0.83516</v>
      </c>
    </row>
    <row r="131" customFormat="false" ht="15" hidden="false" customHeight="false" outlineLevel="0" collapsed="false">
      <c r="A131" s="30" t="n">
        <v>127</v>
      </c>
      <c r="B131" s="49" t="n">
        <v>0.90875</v>
      </c>
      <c r="C131" s="49" t="n">
        <v>0.83616</v>
      </c>
    </row>
    <row r="132" customFormat="false" ht="15" hidden="false" customHeight="false" outlineLevel="0" collapsed="false">
      <c r="A132" s="30" t="n">
        <v>128</v>
      </c>
      <c r="B132" s="49" t="n">
        <v>0.9097</v>
      </c>
      <c r="C132" s="49" t="n">
        <v>0.83712</v>
      </c>
    </row>
    <row r="133" customFormat="false" ht="15" hidden="false" customHeight="false" outlineLevel="0" collapsed="false">
      <c r="A133" s="30" t="n">
        <v>129</v>
      </c>
      <c r="B133" s="49" t="n">
        <v>0.9106</v>
      </c>
      <c r="C133" s="49" t="n">
        <v>0.83802</v>
      </c>
    </row>
    <row r="134" customFormat="false" ht="15" hidden="false" customHeight="false" outlineLevel="0" collapsed="false">
      <c r="A134" s="30" t="n">
        <v>130</v>
      </c>
      <c r="B134" s="49" t="n">
        <v>0.91146</v>
      </c>
      <c r="C134" s="49" t="n">
        <v>0.83888</v>
      </c>
    </row>
    <row r="135" customFormat="false" ht="15" hidden="false" customHeight="false" outlineLevel="0" collapsed="false">
      <c r="A135" s="30" t="n">
        <v>131</v>
      </c>
      <c r="B135" s="49" t="n">
        <v>0.91227</v>
      </c>
      <c r="C135" s="49" t="n">
        <v>0.83969</v>
      </c>
    </row>
    <row r="136" customFormat="false" ht="15" hidden="false" customHeight="false" outlineLevel="0" collapsed="false">
      <c r="A136" s="30" t="n">
        <v>132</v>
      </c>
      <c r="B136" s="49" t="n">
        <v>0.91305</v>
      </c>
      <c r="C136" s="49" t="n">
        <v>0.84047</v>
      </c>
    </row>
    <row r="137" customFormat="false" ht="15" hidden="false" customHeight="false" outlineLevel="0" collapsed="false">
      <c r="A137" s="30" t="n">
        <v>133</v>
      </c>
      <c r="B137" s="49" t="n">
        <v>0.91378</v>
      </c>
      <c r="C137" s="49" t="n">
        <v>0.8412</v>
      </c>
    </row>
    <row r="138" customFormat="false" ht="15" hidden="false" customHeight="false" outlineLevel="0" collapsed="false">
      <c r="A138" s="30" t="n">
        <v>134</v>
      </c>
      <c r="B138" s="49" t="n">
        <v>0.91448</v>
      </c>
      <c r="C138" s="49" t="n">
        <v>0.8419</v>
      </c>
    </row>
    <row r="139" customFormat="false" ht="15" hidden="false" customHeight="false" outlineLevel="0" collapsed="false">
      <c r="A139" s="30" t="n">
        <v>135</v>
      </c>
      <c r="B139" s="49" t="n">
        <v>0.91514</v>
      </c>
      <c r="C139" s="49" t="n">
        <v>0.84256</v>
      </c>
    </row>
    <row r="140" customFormat="false" ht="15" hidden="false" customHeight="false" outlineLevel="0" collapsed="false">
      <c r="A140" s="30" t="n">
        <v>136</v>
      </c>
      <c r="B140" s="49" t="n">
        <v>0.91577</v>
      </c>
      <c r="C140" s="49" t="n">
        <v>0.84319</v>
      </c>
    </row>
    <row r="141" customFormat="false" ht="15" hidden="false" customHeight="false" outlineLevel="0" collapsed="false">
      <c r="A141" s="30" t="n">
        <v>137</v>
      </c>
      <c r="B141" s="49" t="n">
        <v>0.91637</v>
      </c>
      <c r="C141" s="49" t="n">
        <v>0.84379</v>
      </c>
    </row>
    <row r="142" customFormat="false" ht="15" hidden="false" customHeight="false" outlineLevel="0" collapsed="false">
      <c r="A142" s="30" t="n">
        <v>138</v>
      </c>
      <c r="B142" s="49" t="n">
        <v>0.91693</v>
      </c>
      <c r="C142" s="49" t="n">
        <v>0.84435</v>
      </c>
    </row>
    <row r="143" customFormat="false" ht="15" hidden="false" customHeight="false" outlineLevel="0" collapsed="false">
      <c r="A143" s="30" t="n">
        <v>139</v>
      </c>
      <c r="B143" s="49" t="n">
        <v>0.91747</v>
      </c>
      <c r="C143" s="49" t="n">
        <v>0.84489</v>
      </c>
    </row>
    <row r="144" customFormat="false" ht="15" hidden="false" customHeight="false" outlineLevel="0" collapsed="false">
      <c r="A144" s="30" t="n">
        <v>140</v>
      </c>
      <c r="B144" s="49" t="n">
        <v>0.91798</v>
      </c>
      <c r="C144" s="49" t="n">
        <v>0.8454</v>
      </c>
    </row>
    <row r="145" customFormat="false" ht="15" hidden="false" customHeight="false" outlineLevel="0" collapsed="false">
      <c r="A145" s="30" t="n">
        <v>141</v>
      </c>
      <c r="B145" s="49" t="n">
        <v>0.91847</v>
      </c>
      <c r="C145" s="49" t="n">
        <v>0.84589</v>
      </c>
    </row>
    <row r="146" customFormat="false" ht="15" hidden="false" customHeight="false" outlineLevel="0" collapsed="false">
      <c r="A146" s="30" t="n">
        <v>142</v>
      </c>
      <c r="B146" s="49" t="n">
        <v>0.91893</v>
      </c>
      <c r="C146" s="49" t="n">
        <v>0.84635</v>
      </c>
    </row>
    <row r="147" customFormat="false" ht="15" hidden="false" customHeight="false" outlineLevel="0" collapsed="false">
      <c r="A147" s="30" t="n">
        <v>143</v>
      </c>
      <c r="B147" s="49" t="n">
        <v>0.91936</v>
      </c>
      <c r="C147" s="49" t="n">
        <v>0.84678</v>
      </c>
    </row>
    <row r="148" customFormat="false" ht="15" hidden="false" customHeight="false" outlineLevel="0" collapsed="false">
      <c r="A148" s="30" t="n">
        <v>144</v>
      </c>
      <c r="B148" s="49" t="n">
        <v>0.91978</v>
      </c>
      <c r="C148" s="49" t="n">
        <v>0.8472</v>
      </c>
    </row>
    <row r="149" customFormat="false" ht="15" hidden="false" customHeight="false" outlineLevel="0" collapsed="false">
      <c r="A149" s="30" t="n">
        <v>145</v>
      </c>
      <c r="B149" s="49" t="n">
        <v>0.92017</v>
      </c>
      <c r="C149" s="49" t="n">
        <v>0.84759</v>
      </c>
    </row>
    <row r="150" customFormat="false" ht="15" hidden="false" customHeight="false" outlineLevel="0" collapsed="false">
      <c r="A150" s="30" t="n">
        <v>146</v>
      </c>
      <c r="B150" s="49" t="n">
        <v>0.92055</v>
      </c>
      <c r="C150" s="49" t="n">
        <v>0.84796</v>
      </c>
    </row>
    <row r="151" customFormat="false" ht="15" hidden="false" customHeight="false" outlineLevel="0" collapsed="false">
      <c r="A151" s="30" t="n">
        <v>147</v>
      </c>
      <c r="B151" s="49" t="n">
        <v>0.9209</v>
      </c>
      <c r="C151" s="49" t="n">
        <v>0.84832</v>
      </c>
    </row>
    <row r="152" customFormat="false" ht="15" hidden="false" customHeight="false" outlineLevel="0" collapsed="false">
      <c r="A152" s="30" t="n">
        <v>148</v>
      </c>
      <c r="B152" s="49" t="n">
        <v>0.92123</v>
      </c>
      <c r="C152" s="49" t="n">
        <v>0.84865</v>
      </c>
    </row>
    <row r="153" customFormat="false" ht="15" hidden="false" customHeight="false" outlineLevel="0" collapsed="false">
      <c r="A153" s="30" t="n">
        <v>149</v>
      </c>
      <c r="B153" s="49" t="n">
        <v>0.92155</v>
      </c>
      <c r="C153" s="49" t="n">
        <v>0.84897</v>
      </c>
    </row>
    <row r="154" customFormat="false" ht="15" hidden="false" customHeight="false" outlineLevel="0" collapsed="false">
      <c r="A154" s="30" t="n">
        <v>150</v>
      </c>
      <c r="B154" s="49" t="n">
        <v>0.92186</v>
      </c>
      <c r="C154" s="49" t="n">
        <v>0.84927</v>
      </c>
    </row>
    <row r="155" customFormat="false" ht="15" hidden="false" customHeight="false" outlineLevel="0" collapsed="false">
      <c r="A155" s="30" t="n">
        <v>151</v>
      </c>
      <c r="B155" s="49" t="n">
        <v>0.92214</v>
      </c>
      <c r="C155" s="49" t="n">
        <v>0.84956</v>
      </c>
    </row>
    <row r="156" customFormat="false" ht="15" hidden="false" customHeight="false" outlineLevel="0" collapsed="false">
      <c r="A156" s="30" t="n">
        <v>152</v>
      </c>
      <c r="B156" s="49" t="n">
        <v>0.92241</v>
      </c>
      <c r="C156" s="49" t="n">
        <v>0.84983</v>
      </c>
    </row>
    <row r="157" customFormat="false" ht="15" hidden="false" customHeight="false" outlineLevel="0" collapsed="false">
      <c r="A157" s="30" t="n">
        <v>153</v>
      </c>
      <c r="B157" s="49" t="n">
        <v>0.92267</v>
      </c>
      <c r="C157" s="49" t="n">
        <v>0.85009</v>
      </c>
    </row>
    <row r="158" customFormat="false" ht="15" hidden="false" customHeight="false" outlineLevel="0" collapsed="false">
      <c r="A158" s="30" t="n">
        <v>154</v>
      </c>
      <c r="B158" s="49" t="n">
        <v>0.92292</v>
      </c>
      <c r="C158" s="49" t="n">
        <v>0.85034</v>
      </c>
    </row>
    <row r="159" customFormat="false" ht="15" hidden="false" customHeight="false" outlineLevel="0" collapsed="false">
      <c r="A159" s="30" t="n">
        <v>155</v>
      </c>
      <c r="B159" s="49" t="n">
        <v>0.92315</v>
      </c>
      <c r="C159" s="49" t="n">
        <v>0.85057</v>
      </c>
    </row>
    <row r="160" customFormat="false" ht="15" hidden="false" customHeight="false" outlineLevel="0" collapsed="false">
      <c r="A160" s="30" t="n">
        <v>156</v>
      </c>
      <c r="B160" s="49" t="n">
        <v>0.92337</v>
      </c>
      <c r="C160" s="49" t="n">
        <v>0.85079</v>
      </c>
    </row>
    <row r="161" customFormat="false" ht="15" hidden="false" customHeight="false" outlineLevel="0" collapsed="false">
      <c r="A161" s="30" t="n">
        <v>157</v>
      </c>
      <c r="B161" s="49" t="n">
        <v>0.92358</v>
      </c>
      <c r="C161" s="49" t="n">
        <v>0.851</v>
      </c>
    </row>
    <row r="162" customFormat="false" ht="15" hidden="false" customHeight="false" outlineLevel="0" collapsed="false">
      <c r="A162" s="30" t="n">
        <v>158</v>
      </c>
      <c r="B162" s="49" t="n">
        <v>0.92378</v>
      </c>
      <c r="C162" s="49" t="n">
        <v>0.8512</v>
      </c>
    </row>
    <row r="163" customFormat="false" ht="15" hidden="false" customHeight="false" outlineLevel="0" collapsed="false">
      <c r="A163" s="30" t="n">
        <v>159</v>
      </c>
      <c r="B163" s="49" t="n">
        <v>0.92397</v>
      </c>
      <c r="C163" s="49" t="n">
        <v>0.85138</v>
      </c>
    </row>
    <row r="164" customFormat="false" ht="15" hidden="false" customHeight="false" outlineLevel="0" collapsed="false">
      <c r="A164" s="30" t="n">
        <v>160</v>
      </c>
      <c r="B164" s="49" t="n">
        <v>0.92414</v>
      </c>
      <c r="C164" s="49" t="n">
        <v>0.85156</v>
      </c>
    </row>
    <row r="165" customFormat="false" ht="15" hidden="false" customHeight="false" outlineLevel="0" collapsed="false">
      <c r="A165" s="30" t="n">
        <v>161</v>
      </c>
      <c r="B165" s="49" t="n">
        <v>0.92431</v>
      </c>
      <c r="C165" s="49" t="n">
        <v>0.85173</v>
      </c>
    </row>
    <row r="166" customFormat="false" ht="15" hidden="false" customHeight="false" outlineLevel="0" collapsed="false">
      <c r="A166" s="30" t="n">
        <v>162</v>
      </c>
      <c r="B166" s="49" t="n">
        <v>0.92447</v>
      </c>
      <c r="C166" s="49" t="n">
        <v>0.85189</v>
      </c>
    </row>
    <row r="167" customFormat="false" ht="15" hidden="false" customHeight="false" outlineLevel="0" collapsed="false">
      <c r="A167" s="30" t="n">
        <v>163</v>
      </c>
      <c r="B167" s="49" t="n">
        <v>0.92463</v>
      </c>
      <c r="C167" s="49" t="n">
        <v>0.85205</v>
      </c>
    </row>
    <row r="168" customFormat="false" ht="15" hidden="false" customHeight="false" outlineLevel="0" collapsed="false">
      <c r="A168" s="30" t="n">
        <v>164</v>
      </c>
      <c r="B168" s="49" t="n">
        <v>0.92477</v>
      </c>
      <c r="C168" s="49" t="n">
        <v>0.85219</v>
      </c>
    </row>
    <row r="169" customFormat="false" ht="15" hidden="false" customHeight="false" outlineLevel="0" collapsed="false">
      <c r="A169" s="30" t="n">
        <v>165</v>
      </c>
      <c r="B169" s="49" t="n">
        <v>0.92491</v>
      </c>
      <c r="C169" s="49" t="n">
        <v>0.85233</v>
      </c>
    </row>
    <row r="170" customFormat="false" ht="15" hidden="false" customHeight="false" outlineLevel="0" collapsed="false">
      <c r="A170" s="30" t="n">
        <v>166</v>
      </c>
      <c r="B170" s="49" t="n">
        <v>0.92504</v>
      </c>
      <c r="C170" s="49" t="n">
        <v>0.85246</v>
      </c>
    </row>
    <row r="171" customFormat="false" ht="15" hidden="false" customHeight="false" outlineLevel="0" collapsed="false">
      <c r="A171" s="30" t="n">
        <v>167</v>
      </c>
      <c r="B171" s="49" t="n">
        <v>0.92516</v>
      </c>
      <c r="C171" s="49" t="n">
        <v>0.85258</v>
      </c>
    </row>
    <row r="172" customFormat="false" ht="15" hidden="false" customHeight="false" outlineLevel="0" collapsed="false">
      <c r="A172" s="30" t="n">
        <v>168</v>
      </c>
      <c r="B172" s="49" t="n">
        <v>0.92528</v>
      </c>
      <c r="C172" s="49" t="n">
        <v>0.8527</v>
      </c>
    </row>
    <row r="173" customFormat="false" ht="15" hidden="false" customHeight="false" outlineLevel="0" collapsed="false">
      <c r="A173" s="30" t="n">
        <v>169</v>
      </c>
      <c r="B173" s="49" t="n">
        <v>0.92539</v>
      </c>
      <c r="C173" s="49" t="n">
        <v>0.85281</v>
      </c>
    </row>
    <row r="174" customFormat="false" ht="15" hidden="false" customHeight="false" outlineLevel="0" collapsed="false">
      <c r="A174" s="30" t="n">
        <v>170</v>
      </c>
      <c r="B174" s="49" t="n">
        <v>0.92549</v>
      </c>
      <c r="C174" s="49" t="n">
        <v>0.85291</v>
      </c>
    </row>
    <row r="175" customFormat="false" ht="15" hidden="false" customHeight="false" outlineLevel="0" collapsed="false">
      <c r="A175" s="30" t="n">
        <v>171</v>
      </c>
      <c r="B175" s="49" t="n">
        <v>0.92559</v>
      </c>
      <c r="C175" s="49" t="n">
        <v>0.85301</v>
      </c>
    </row>
    <row r="176" customFormat="false" ht="15" hidden="false" customHeight="false" outlineLevel="0" collapsed="false">
      <c r="A176" s="30" t="n">
        <v>172</v>
      </c>
      <c r="B176" s="49" t="n">
        <v>0.92569</v>
      </c>
      <c r="C176" s="49" t="n">
        <v>0.85311</v>
      </c>
    </row>
    <row r="177" customFormat="false" ht="15" hidden="false" customHeight="false" outlineLevel="0" collapsed="false">
      <c r="A177" s="30" t="n">
        <v>173</v>
      </c>
      <c r="B177" s="49" t="n">
        <v>0.92578</v>
      </c>
      <c r="C177" s="49" t="n">
        <v>0.8532</v>
      </c>
    </row>
    <row r="178" customFormat="false" ht="15" hidden="false" customHeight="false" outlineLevel="0" collapsed="false">
      <c r="A178" s="30" t="n">
        <v>174</v>
      </c>
      <c r="B178" s="49" t="n">
        <v>0.92586</v>
      </c>
      <c r="C178" s="49" t="n">
        <v>0.85328</v>
      </c>
    </row>
    <row r="179" customFormat="false" ht="15" hidden="false" customHeight="false" outlineLevel="0" collapsed="false">
      <c r="A179" s="30" t="n">
        <v>175</v>
      </c>
      <c r="B179" s="49" t="n">
        <v>0.92594</v>
      </c>
      <c r="C179" s="49" t="n">
        <v>0.85336</v>
      </c>
    </row>
    <row r="180" customFormat="false" ht="15" hidden="false" customHeight="false" outlineLevel="0" collapsed="false">
      <c r="A180" s="30" t="n">
        <v>176</v>
      </c>
      <c r="B180" s="49" t="n">
        <v>0.92602</v>
      </c>
      <c r="C180" s="49" t="n">
        <v>0.85344</v>
      </c>
    </row>
    <row r="181" customFormat="false" ht="15" hidden="false" customHeight="false" outlineLevel="0" collapsed="false">
      <c r="A181" s="30" t="n">
        <v>177</v>
      </c>
      <c r="B181" s="49" t="n">
        <v>0.92609</v>
      </c>
      <c r="C181" s="49" t="n">
        <v>0.85351</v>
      </c>
    </row>
    <row r="182" customFormat="false" ht="15" hidden="false" customHeight="false" outlineLevel="0" collapsed="false">
      <c r="A182" s="30" t="n">
        <v>178</v>
      </c>
      <c r="B182" s="49" t="n">
        <v>0.92616</v>
      </c>
      <c r="C182" s="49" t="n">
        <v>0.85358</v>
      </c>
    </row>
    <row r="183" customFormat="false" ht="15" hidden="false" customHeight="false" outlineLevel="0" collapsed="false">
      <c r="A183" s="30" t="n">
        <v>179</v>
      </c>
      <c r="B183" s="49" t="n">
        <v>0.92623</v>
      </c>
      <c r="C183" s="49" t="n">
        <v>0.85364</v>
      </c>
    </row>
    <row r="184" customFormat="false" ht="15" hidden="false" customHeight="false" outlineLevel="0" collapsed="false">
      <c r="A184" s="30" t="n">
        <v>180</v>
      </c>
      <c r="B184" s="49" t="n">
        <v>0.92629</v>
      </c>
      <c r="C184" s="49" t="n">
        <v>0.85371</v>
      </c>
    </row>
    <row r="185" customFormat="false" ht="15" hidden="false" customHeight="false" outlineLevel="0" collapsed="false">
      <c r="A185" s="30" t="n">
        <v>181</v>
      </c>
      <c r="B185" s="49" t="n">
        <v>0.92635</v>
      </c>
      <c r="C185" s="49" t="n">
        <v>0.85376</v>
      </c>
    </row>
    <row r="186" customFormat="false" ht="15" hidden="false" customHeight="false" outlineLevel="0" collapsed="false">
      <c r="A186" s="30" t="n">
        <v>182</v>
      </c>
      <c r="B186" s="49" t="n">
        <v>0.9264</v>
      </c>
      <c r="C186" s="49" t="n">
        <v>0.85382</v>
      </c>
    </row>
    <row r="187" customFormat="false" ht="15" hidden="false" customHeight="false" outlineLevel="0" collapsed="false">
      <c r="A187" s="30" t="n">
        <v>183</v>
      </c>
      <c r="B187" s="49" t="n">
        <v>0.92645</v>
      </c>
      <c r="C187" s="49" t="n">
        <v>0.85387</v>
      </c>
    </row>
    <row r="188" customFormat="false" ht="15" hidden="false" customHeight="false" outlineLevel="0" collapsed="false">
      <c r="A188" s="30" t="n">
        <v>184</v>
      </c>
      <c r="B188" s="49" t="n">
        <v>0.9265</v>
      </c>
      <c r="C188" s="49" t="n">
        <v>0.85392</v>
      </c>
    </row>
    <row r="189" customFormat="false" ht="15" hidden="false" customHeight="false" outlineLevel="0" collapsed="false">
      <c r="A189" s="30" t="n">
        <v>185</v>
      </c>
      <c r="B189" s="49" t="n">
        <v>0.92655</v>
      </c>
      <c r="C189" s="49" t="n">
        <v>0.85397</v>
      </c>
    </row>
    <row r="190" customFormat="false" ht="15" hidden="false" customHeight="false" outlineLevel="0" collapsed="false">
      <c r="A190" s="30" t="n">
        <v>186</v>
      </c>
      <c r="B190" s="49" t="n">
        <v>0.9266</v>
      </c>
      <c r="C190" s="49" t="n">
        <v>0.85402</v>
      </c>
    </row>
    <row r="191" customFormat="false" ht="15" hidden="false" customHeight="false" outlineLevel="0" collapsed="false">
      <c r="A191" s="30" t="n">
        <v>187</v>
      </c>
      <c r="B191" s="49" t="n">
        <v>0.92664</v>
      </c>
      <c r="C191" s="49" t="n">
        <v>0.85406</v>
      </c>
    </row>
    <row r="192" customFormat="false" ht="15" hidden="false" customHeight="false" outlineLevel="0" collapsed="false">
      <c r="A192" s="30" t="n">
        <v>188</v>
      </c>
      <c r="B192" s="49" t="n">
        <v>0.92668</v>
      </c>
      <c r="C192" s="49" t="n">
        <v>0.8541</v>
      </c>
    </row>
    <row r="193" customFormat="false" ht="15" hidden="false" customHeight="false" outlineLevel="0" collapsed="false">
      <c r="A193" s="30" t="n">
        <v>189</v>
      </c>
      <c r="B193" s="49" t="n">
        <v>0.92672</v>
      </c>
      <c r="C193" s="49" t="n">
        <v>0.85414</v>
      </c>
    </row>
    <row r="194" customFormat="false" ht="15" hidden="false" customHeight="false" outlineLevel="0" collapsed="false">
      <c r="A194" s="30" t="n">
        <v>190</v>
      </c>
      <c r="B194" s="49" t="n">
        <v>0.92675</v>
      </c>
      <c r="C194" s="49" t="n">
        <v>0.85417</v>
      </c>
    </row>
    <row r="195" customFormat="false" ht="15" hidden="false" customHeight="false" outlineLevel="0" collapsed="false">
      <c r="A195" s="30" t="n">
        <v>191</v>
      </c>
      <c r="B195" s="49" t="n">
        <v>0.92679</v>
      </c>
      <c r="C195" s="49" t="n">
        <v>0.85421</v>
      </c>
    </row>
    <row r="196" customFormat="false" ht="15" hidden="false" customHeight="false" outlineLevel="0" collapsed="false">
      <c r="A196" s="30" t="n">
        <v>192</v>
      </c>
      <c r="B196" s="49" t="n">
        <v>0.92682</v>
      </c>
      <c r="C196" s="49" t="n">
        <v>0.85424</v>
      </c>
    </row>
    <row r="197" customFormat="false" ht="15" hidden="false" customHeight="false" outlineLevel="0" collapsed="false">
      <c r="A197" s="30" t="n">
        <v>193</v>
      </c>
      <c r="B197" s="49" t="n">
        <v>0.92685</v>
      </c>
      <c r="C197" s="49" t="n">
        <v>0.85427</v>
      </c>
    </row>
    <row r="198" customFormat="false" ht="15" hidden="false" customHeight="false" outlineLevel="0" collapsed="false">
      <c r="A198" s="30" t="n">
        <v>194</v>
      </c>
      <c r="B198" s="49" t="n">
        <v>0.92688</v>
      </c>
      <c r="C198" s="49" t="n">
        <v>0.8543</v>
      </c>
    </row>
    <row r="199" customFormat="false" ht="15" hidden="false" customHeight="false" outlineLevel="0" collapsed="false">
      <c r="A199" s="30" t="n">
        <v>195</v>
      </c>
      <c r="B199" s="49" t="n">
        <v>0.92691</v>
      </c>
      <c r="C199" s="49" t="n">
        <v>0.85433</v>
      </c>
    </row>
    <row r="200" customFormat="false" ht="15" hidden="false" customHeight="false" outlineLevel="0" collapsed="false">
      <c r="A200" s="30" t="n">
        <v>196</v>
      </c>
      <c r="B200" s="49" t="n">
        <v>0.92694</v>
      </c>
      <c r="C200" s="49" t="n">
        <v>0.85435</v>
      </c>
    </row>
    <row r="201" customFormat="false" ht="15" hidden="false" customHeight="false" outlineLevel="0" collapsed="false">
      <c r="A201" s="30" t="n">
        <v>197</v>
      </c>
      <c r="B201" s="49" t="n">
        <v>0.92696</v>
      </c>
      <c r="C201" s="49" t="n">
        <v>0.85438</v>
      </c>
    </row>
    <row r="202" customFormat="false" ht="15" hidden="false" customHeight="false" outlineLevel="0" collapsed="false">
      <c r="A202" s="30" t="n">
        <v>198</v>
      </c>
      <c r="B202" s="49" t="n">
        <v>0.92698</v>
      </c>
      <c r="C202" s="49" t="n">
        <v>0.8544</v>
      </c>
    </row>
    <row r="203" customFormat="false" ht="15" hidden="false" customHeight="false" outlineLevel="0" collapsed="false">
      <c r="A203" s="30" t="n">
        <v>199</v>
      </c>
      <c r="B203" s="49" t="n">
        <v>0.92701</v>
      </c>
      <c r="C203" s="49" t="n">
        <v>0.85443</v>
      </c>
    </row>
    <row r="204" customFormat="false" ht="15" hidden="false" customHeight="false" outlineLevel="0" collapsed="false">
      <c r="A204" s="30" t="n">
        <v>200</v>
      </c>
      <c r="B204" s="49" t="n">
        <v>0.92703</v>
      </c>
      <c r="C204" s="49" t="n">
        <v>0.85445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2026-10-14T19:19:24Z</dcterms:created>
  <dc:creator>openpyxl</dc:creator>
  <dc:description/>
  <dc:language>en-US</dc:language>
  <cp:lastModifiedBy/>
  <dcterms:modified xsi:type="dcterms:W3CDTF">2026-10-14T19:19:24Z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