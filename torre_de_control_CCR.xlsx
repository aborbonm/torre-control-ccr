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user\Documents\GitHub\torre-control-ccr\"/>
    </mc:Choice>
  </mc:AlternateContent>
  <xr:revisionPtr revIDLastSave="0" documentId="8_{7705C02E-E2E5-42A1-8E9F-511396BD8ADD}" xr6:coauthVersionLast="47" xr6:coauthVersionMax="47" xr10:uidLastSave="{00000000-0000-0000-0000-000000000000}"/>
  <bookViews>
    <workbookView xWindow="3870" yWindow="3000" windowWidth="23340" windowHeight="11295" tabRatio="819" activeTab="5" xr2:uid="{00000000-000D-0000-FFFF-FFFF00000000}"/>
  </bookViews>
  <sheets>
    <sheet name="documentos" sheetId="1" r:id="rId1"/>
    <sheet name="equipo" sheetId="2" r:id="rId2"/>
    <sheet name="productos criticos" sheetId="3" r:id="rId3"/>
    <sheet name="PMR" sheetId="4" r:id="rId4"/>
    <sheet name="datos_ops" sheetId="5" r:id="rId5"/>
    <sheet name="resultados" sheetId="6" r:id="rId6"/>
    <sheet name="productos_resultados" sheetId="7" r:id="rId7"/>
    <sheet name="comentarios_clausulas" sheetId="9" r:id="rId8"/>
    <sheet name="change log" sheetId="8" r:id="rId9"/>
  </sheets>
  <definedNames>
    <definedName name="_xlnm._FilterDatabase" localSheetId="0" hidden="1">documentos!$A$3:$D$60</definedName>
    <definedName name="_xlnm._FilterDatabase" localSheetId="2" hidden="1">'productos criticos'!$B$3:$G$34</definedName>
    <definedName name="_xlnm._FilterDatabase" localSheetId="6" hidden="1">productos_resultados!$A$3:$C$179</definedName>
    <definedName name="_xlnm._FilterDatabase" localSheetId="5" hidden="1">resultados!$A$3:$H$113</definedName>
  </definedNames>
  <calcPr calcId="0"/>
</workbook>
</file>

<file path=xl/sharedStrings.xml><?xml version="1.0" encoding="utf-8"?>
<sst xmlns="http://schemas.openxmlformats.org/spreadsheetml/2006/main" count="2152" uniqueCount="670">
  <si>
    <t>Fecha de revisión</t>
  </si>
  <si>
    <t>Tab de la torre</t>
  </si>
  <si>
    <t>Operación</t>
  </si>
  <si>
    <t>acción lograda</t>
  </si>
  <si>
    <t>2/27/2026</t>
  </si>
  <si>
    <t>documentos</t>
  </si>
  <si>
    <t>CR-L1032</t>
  </si>
  <si>
    <t>incluir PP</t>
  </si>
  <si>
    <t>incluir POD</t>
  </si>
  <si>
    <t>Incluir el LP</t>
  </si>
  <si>
    <t>incluir el LC</t>
  </si>
  <si>
    <t>incluir ratificación</t>
  </si>
  <si>
    <t>incluir ROP</t>
  </si>
  <si>
    <t>equipo</t>
  </si>
  <si>
    <t>CR-L1157</t>
  </si>
  <si>
    <t>incluir jefe de equipo alterno</t>
  </si>
  <si>
    <t>corregir rol de apoyo fiduciario</t>
  </si>
  <si>
    <t>eliminar especialista financiero antiguo</t>
  </si>
  <si>
    <t>CR-L1065</t>
  </si>
  <si>
    <t>incluir firma autorizada</t>
  </si>
  <si>
    <t>CR-L1039</t>
  </si>
  <si>
    <t>CR-L1152</t>
  </si>
  <si>
    <t>incluir segundo analista de operaciones</t>
  </si>
  <si>
    <t>clausulas vencidas</t>
  </si>
  <si>
    <t>CR-J0002</t>
  </si>
  <si>
    <t>cumplimiento cláusula 4.06 unidad de refugio</t>
  </si>
  <si>
    <t>cumplimiento cláusula 4.06 catem</t>
  </si>
  <si>
    <t>cumplimiento cláusula 4.06 CCP upala</t>
  </si>
  <si>
    <t>clausulas 180 dias</t>
  </si>
  <si>
    <t>CR-L1137</t>
  </si>
  <si>
    <t>correo de advertencia a TL</t>
  </si>
  <si>
    <t>firma autorizada incluida</t>
  </si>
  <si>
    <t>Texto de la ley aprobada</t>
  </si>
  <si>
    <t>CR-L1139</t>
  </si>
  <si>
    <t>Incluir LP</t>
  </si>
  <si>
    <t>Se agrega miembros de ESG en todos los programas</t>
  </si>
  <si>
    <t>correo de advertencia a TL y se elimina jefe alterno desactualizado</t>
  </si>
  <si>
    <t>eliminar analistas no activos</t>
  </si>
  <si>
    <t>productos criticos</t>
  </si>
  <si>
    <t>CR-G1008, y todos TSP</t>
  </si>
  <si>
    <t>Se agregan productos críticos.</t>
  </si>
  <si>
    <t>Planes financieros</t>
  </si>
  <si>
    <t>CR-L1065, CR-L1139, y CR-L1151</t>
  </si>
  <si>
    <t>Se incluyen links a archivos.</t>
  </si>
  <si>
    <t>Firmas Autorizadas</t>
  </si>
  <si>
    <t>CR-L1032 y CR-L1139</t>
  </si>
  <si>
    <t>Se incluye nuevo ID EZ-Share para  archivo actualizado</t>
  </si>
  <si>
    <t>PMR</t>
  </si>
  <si>
    <t>Se agrega nuevo tab con datos de PMR y plan de acción</t>
  </si>
  <si>
    <t>nueva version para estructurar mejor la data preparando para futuro visor</t>
  </si>
  <si>
    <t>implementa nuevo visor usando nueva estructura de datos</t>
  </si>
  <si>
    <t>actualización de nombres y roles de equipo de proyecto usando nuevo agente de copilot</t>
  </si>
  <si>
    <t>clausulas</t>
  </si>
  <si>
    <t>generacion automática de filtros con base en csv generado por el dashboard de clausulas del banco</t>
  </si>
  <si>
    <t>implementa nuevos tabs de clausulas vencidas y proximas a vencer generados automaticamente desde el csv del dashboard del banco</t>
  </si>
  <si>
    <t>general</t>
  </si>
  <si>
    <t>correción de textos con errores y consistencia de nombres de columnas</t>
  </si>
  <si>
    <t>agrega referencia a firma autorizada</t>
  </si>
  <si>
    <t>se eliminan las hojas antiguas de clausulas en excel y se limpia para asegurar referencias al csv nuevo</t>
  </si>
  <si>
    <t>Asigna como analista 1 al responsible del equipo de operaciones</t>
  </si>
  <si>
    <t>pmr</t>
  </si>
  <si>
    <t>actualiza codigo de colores para indicadores tecnicos segun guía de pmr</t>
  </si>
  <si>
    <t>se actualiza estado</t>
  </si>
  <si>
    <t>CR-L1151</t>
  </si>
  <si>
    <t>se actualiza estado y comentarios</t>
  </si>
  <si>
    <t>resultados</t>
  </si>
  <si>
    <t>Se agregan 12 indicadores de la Matriz de Resultados (I-RGC 2026, 3 objetivos específicos)</t>
  </si>
  <si>
    <t>productos_resultados</t>
  </si>
  <si>
    <t>Se agregan 14 relaciones indicador↔producto de la lógica vertical (I-RGC 2026, 13 productos)</t>
  </si>
  <si>
    <t>CR-L1156</t>
  </si>
  <si>
    <t>Se agregan 14 indicadores: 4 de impacto (prob. Alta) + 10 de objetivos específicos 5 y 6. PBP — valores de LB/meta por definir (I-RGC 2026)</t>
  </si>
  <si>
    <t>Se agregan 22 relaciones indicador↔producto: 6 productos principales del SINCA identificados en p.9 del PDF (I-RGC 2026)</t>
  </si>
  <si>
    <t>Se agregan 8 indicadores de la Matriz de Resultados (I-RGC 2026, corte 21-may-2026)</t>
  </si>
  <si>
    <t>Se agregan 31 relaciones indicador↔producto de la lógica vertical (I-RGC 2026, 8 productos)</t>
  </si>
  <si>
    <t>Documentos por Operación — Torre de Control CCR</t>
  </si>
  <si>
    <t>Tipo de Documento</t>
  </si>
  <si>
    <t>Nombre / ID</t>
  </si>
  <si>
    <t>URL</t>
  </si>
  <si>
    <t>Firma autorizada</t>
  </si>
  <si>
    <t>EZIDB0000195-360818819-5473</t>
  </si>
  <si>
    <t>https://ezws.iadb.org/getdocument.aspx?docnum=EZIDB0000195-360818819-5473</t>
  </si>
  <si>
    <t>EZIDB0000195-360818819-5467</t>
  </si>
  <si>
    <t>https://ezws.iadb.org/getdocument.aspx?docnum=EZIDB0000195-360818819-5467</t>
  </si>
  <si>
    <t>EZIDB0000195-1292350467-247</t>
  </si>
  <si>
    <t>https://ezws.iadb.org/getdocument.aspx?docnum=EZIDB0000195-1292350467-247</t>
  </si>
  <si>
    <t>CR-L1066</t>
  </si>
  <si>
    <t>EZIDB0000195-2089566125-407</t>
  </si>
  <si>
    <t>https://idbg.sharepoint.com/teams/EZ-CR-LON/CR-L1066/_layouts/15/DocIdRedir.aspx?ID=EZIDB0000195-2089566125-407</t>
  </si>
  <si>
    <t>EZIDB0000195-59487904-120</t>
  </si>
  <si>
    <t>https://ezws.iadb.org/getdocument.aspx?docnum=EZIDB0000195-59487904-120</t>
  </si>
  <si>
    <t>EZIDB0000195-597680473-211</t>
  </si>
  <si>
    <t>EZIDB0000191-1939238704-7</t>
  </si>
  <si>
    <t>https://idbg.sharepoint.com/teams/EZ-CR-GRF/CR-J0002/20%20Contracts%20and%20Clauses/Registro%20de%20firmas.pdf</t>
  </si>
  <si>
    <t>EZIDB0000642-138014739-27</t>
  </si>
  <si>
    <t>https://ezws.iadb.org/getdocument.aspx?docnum=EZIDB0000642-138014739-27</t>
  </si>
  <si>
    <t>PP - Perfil</t>
  </si>
  <si>
    <t>EZSHARE-1939367940-2198</t>
  </si>
  <si>
    <t>https://idbg.sharepoint.com/teams/EZ-CR-LON/CR-L1032/_layouts/15/DocIdRedir.aspx?ID=EZSHARE-1939367940-2198</t>
  </si>
  <si>
    <t>EZSHARE-1108381426-6</t>
  </si>
  <si>
    <t>https://idbg.sharepoint.com/teams/EZ-CR-LON/CR-L1066/_layouts/15/DocIdRedir.aspx?ID=EZSHARE-1108381426-6</t>
  </si>
  <si>
    <t>EZSHARE-822257051-36</t>
  </si>
  <si>
    <t>https://idbg.sharepoint.com/teams/_layouts/15/DocIdRedir.aspx?ID=EZSHARE-822257051-36</t>
  </si>
  <si>
    <t>EZSHARE-1127813953-11</t>
  </si>
  <si>
    <t>https://idbg.sharepoint.com/teams/EZ-CR-LON/CR-L1139/_layouts/15/DocIdRedir.aspx?ID=EZSHARE-1127813953-11</t>
  </si>
  <si>
    <t>EZSHARE-883508192-4</t>
  </si>
  <si>
    <t>https://idbg.sharepoint.com/teams/ez-cr-grf/cr-j0002/_layouts/15/DocIdRedir.aspx?ID=EZSHARE-883508192-4</t>
  </si>
  <si>
    <t>EZIDB0000642-1318336402-8</t>
  </si>
  <si>
    <t>https://idbg.sharepoint.com/teams/ez-CR-L1151/_layouts/15/DocIdRedir.aspx?ID=EZIDB0000642-1318336402-8</t>
  </si>
  <si>
    <t>EZIDB0001251-740809089-3</t>
  </si>
  <si>
    <t>POD - Proposal Operation Development</t>
  </si>
  <si>
    <t>EZSHARE-1939367940-2337</t>
  </si>
  <si>
    <t>https://idbg.sharepoint.com/teams/EZ-CR-LON/CR-L1032/_layouts/15/DocIdRedir.aspx?ID=EZSHARE-1939367940-2337</t>
  </si>
  <si>
    <t>EZSHARE-998400382-90</t>
  </si>
  <si>
    <t>https://idbg.sharepoint.com/teams/EZ-CR-LON/CR-L1065/_layouts/15/DocIdRedir.aspx?ID=EZSHARE-998400382-90</t>
  </si>
  <si>
    <t>EZSHARE-1108381426-13</t>
  </si>
  <si>
    <t>https://idbg.sharepoint.com/teams/EZ-CR-LON/CR-L1066/_layouts/15/DocIdRedir.aspx?ID=EZSHARE-1108381426-13</t>
  </si>
  <si>
    <t>EZSHARE-822257051-128</t>
  </si>
  <si>
    <t>https://idbg.sharepoint.com/teams/EZ-CR-LON/CR-L1137/_layouts/15/DocIdRedir.aspx?ID=EZSHARE-822257051-128</t>
  </si>
  <si>
    <t>EZSHARE-1127813953-37</t>
  </si>
  <si>
    <t>https://idbg.sharepoint.com/teams/EZ-CR-LON/CR-L1139/_layouts/15/DocIdRedir.aspx?ID=EZSHARE-1127813953-37</t>
  </si>
  <si>
    <t>EZSHARE-883508192-35</t>
  </si>
  <si>
    <t>https://idbg.sharepoint.com/teams/ez-cr-grf/cr-j0002/_layouts/15/DocIdRedir.aspx?ID=EZSHARE-883508192-35</t>
  </si>
  <si>
    <t>EZIDB0000642-1318336402-80</t>
  </si>
  <si>
    <t>https://idbg.sharepoint.com/teams/ez-CR-L1151/_layouts/15/DocIdRedir.aspx?ID=EZIDB0000642-1318336402-80</t>
  </si>
  <si>
    <t>EZIDB0003356-1949740866-371</t>
  </si>
  <si>
    <t>https://idbg.sharepoint.com/teams/ez-CR-L1157/_layouts/15/DocIdRedir.aspx?ID=EZIDB0003356-1949740866-371</t>
  </si>
  <si>
    <t>LP - Loan proposal</t>
  </si>
  <si>
    <t>EZSHARE-1939367940-17</t>
  </si>
  <si>
    <t>https://idbg.sharepoint.com/teams/EZ-CR-LON/CR-L1032/_layouts/15/DocIdRedir.aspx?ID=EZSHARE-1939367940-17</t>
  </si>
  <si>
    <t>EZSHARE-1108381426-7</t>
  </si>
  <si>
    <t>https://idbg.sharepoint.com/teams/EZ-CR-LON/CR-L1066/_layouts/15/DocIdRedir.aspx?ID=EZSHARE-1108381426-7</t>
  </si>
  <si>
    <t>EZSHARE-1127813953-40</t>
  </si>
  <si>
    <t>https://idbg.sharepoint.com/teams/EZ-CR-LON/CR-L1139/_layouts/15/DocIdRedir.aspx?ID=EZSHARE-1127813953-40</t>
  </si>
  <si>
    <t>EZIDB0000191-883508192-51</t>
  </si>
  <si>
    <t>https://idbg.sharepoint.com/teams/ez-cr-grf/cr-j0002/_layouts/15/DocIdRedir.aspx?ID=EZIDB0000191-883508192-51</t>
  </si>
  <si>
    <t>EZIDB0000820-774303543-66</t>
  </si>
  <si>
    <t>https://idbg.sharepoint.com/teams/ez-CR-L1152/15%20LifeCycle%20Milestones/Costa%20Rica.%20Propuesta%20de%20prestamo%20y%20financiamiento%20no%20reembolsable%20para%20inversion%20para%20el%20proyecto%20_Mejora%20de%20la%20Calidad%20del%20Sistema%20Educativo.pdf</t>
  </si>
  <si>
    <t>EZIDB0003356-1949740866-372</t>
  </si>
  <si>
    <t>https://idbg.sharepoint.com/teams/ez-CR-L1157/_layouts/15/DocIdRedir.aspx?ID=EZIDB0003356-1949740866-372</t>
  </si>
  <si>
    <t>LC - Loan contract signed</t>
  </si>
  <si>
    <t>EZIDB0000195-246772048-19</t>
  </si>
  <si>
    <t>https://idbg.sharepoint.com/teams/EZ-CR-LON/CR-L1032/_layouts/15/DocIdRedir.aspx?ID=EZIDB0000195-246772048-19</t>
  </si>
  <si>
    <t>EZIDB0000195-246772048-20</t>
  </si>
  <si>
    <t>https://idbg.sharepoint.com/teams/EZ-CR-LON/CR-L1032/_layouts/15/DocIdRedir.aspx?ID=EZIDB0000195-246772048-20</t>
  </si>
  <si>
    <t>EZSHARE-998400382-89</t>
  </si>
  <si>
    <t>https://idbg.sharepoint.com/teams/EZ-CR-LON/CR-L1065/_layouts/15/DocIdRedir.aspx?ID=EZSHARE-998400382-89</t>
  </si>
  <si>
    <t>EZSHARE-1108381426-8</t>
  </si>
  <si>
    <t>https://idbg.sharepoint.com/teams/EZ-CR-LON/CR-L1066/_layouts/15/DocIdRedir.aspx?ID=EZSHARE-1108381426-8</t>
  </si>
  <si>
    <t>EZSHARE-822257051-196</t>
  </si>
  <si>
    <t>https://idbg.sharepoint.com/teams/EZ-CR-LON/CR-L1137/_layouts/15/DocIdRedir.aspx?ID=EZSHARE-822257051-196</t>
  </si>
  <si>
    <t>EZSHARE-1127813953-44</t>
  </si>
  <si>
    <t>https://idbg.sharepoint.com/teams/EZ-CR-LON/CR-L1139/_layouts/15/DocIdRedir.aspx?ID=EZSHARE-1127813953-44</t>
  </si>
  <si>
    <t>EZIDB0000191-883508192-57</t>
  </si>
  <si>
    <t>https://idbg.sharepoint.com/teams/ez-cr-grf/cr-j0002/_layouts/15/DocIdRedir.aspx?ID=EZIDB0000191-883508192-57</t>
  </si>
  <si>
    <t>EZIDB0000642-1318336402-79</t>
  </si>
  <si>
    <t>https://idbg.sharepoint.com/teams/ez-CR-L1151/_layouts/15/DocIdRedir.aspx?ID=EZIDB0000642-1318336402-79</t>
  </si>
  <si>
    <t>EZIDB0003356-828744887-5</t>
  </si>
  <si>
    <t>https://idbg.sharepoint.com/teams/ez-CR-L1157/_layouts/15/DocIdRedir.aspx?ID=EZIDB0003356-1949740866-375</t>
  </si>
  <si>
    <t>Ratificacion en AL</t>
  </si>
  <si>
    <t>39376682</t>
  </si>
  <si>
    <t>https://idbdocs.iadb.org/wsdocs/getDocument.aspx?DOCNUM=39376682</t>
  </si>
  <si>
    <t>EZIDB0000195-1108381426-32</t>
  </si>
  <si>
    <t>https://idbg.sharepoint.com/teams/EZ-CR-LON/CR-L1066/_layouts/15/DocIdRedir.aspx?ID=EZIDB0000195-1108381426-32</t>
  </si>
  <si>
    <t>EZSHARE-131707176-20</t>
  </si>
  <si>
    <t>https://idbg.sharepoint.com/teams/EZ-CR-LON/CR-L1137/_layouts/15/DocIdRedir.aspx?ID=EZSHARE-131707176-20</t>
  </si>
  <si>
    <t>EZSHARE-1854815960-70</t>
  </si>
  <si>
    <t>https://idbg.sharepoint.com/teams/EZ-CR-LON/CR-L1139/_layouts/15/DocIdRedir.aspx?ID=EZSHARE-1854815960-70</t>
  </si>
  <si>
    <t>Policy waivers - consultive notes</t>
  </si>
  <si>
    <t>EZIDB0003356-1949740866-374</t>
  </si>
  <si>
    <t>https://idbg.sharepoint.com/teams/ez-CR-L1157/_layouts/15/DocIdRedir.aspx?ID=EZIDB0003356-1949740866-374</t>
  </si>
  <si>
    <t>ROP - Operative manual</t>
  </si>
  <si>
    <t>EZIDB0000195-246772048-18</t>
  </si>
  <si>
    <t>https://idbg.sharepoint.com/teams/EZ-CR-LON/CR-L1032/_layouts/15/DocIdRedir.aspx?ID=EZIDB0000195-246772048-18</t>
  </si>
  <si>
    <t>EZIDB0000195-998400382-107</t>
  </si>
  <si>
    <t>https://idbg.sharepoint.com/teams/EZ-CR-LON/CR-L1065/_layouts/15/DocIdRedir.aspx?ID=EZIDB0000195-998400382-107</t>
  </si>
  <si>
    <t>EZSHARE-1108381426-21</t>
  </si>
  <si>
    <t>https://idbg.sharepoint.com/teams/EZ-CR-LON/CR-L1066/_layouts/15/DocIdRedir.aspx?ID=EZSHARE-1108381426-21</t>
  </si>
  <si>
    <t>EZIDB0000195-822257051-219</t>
  </si>
  <si>
    <t>https://idbg.sharepoint.com/teams/EZ-CR-LON/CR-L1066/_layouts/15/DocIdRedir.aspx?ID=EZIDB0000195-822257051-219</t>
  </si>
  <si>
    <t>EZIDB0000195-1127813953-74</t>
  </si>
  <si>
    <t>https://idbg.sharepoint.com/teams/EZ-CR-LON/CR-L1139/_layouts/15/DocIdRedir.aspx?ID=EZIDB0000195-1127813953-74</t>
  </si>
  <si>
    <t>EZIDB0000191-1939238704-4</t>
  </si>
  <si>
    <t>https://idbg.sharepoint.com/teams/ez-cr-grf/cr-j0002/_layouts/15/DocIdRedir.aspx?ID=EZIDB0000191-1939238704-4</t>
  </si>
  <si>
    <t>EZIDB0000642-138014739-42</t>
  </si>
  <si>
    <t>https://idbg.sharepoint.com/teams/ez-CR-L1151/_layouts/15/DocIdRedir.aspx?ID=EZIDB0000642-138014739-42</t>
  </si>
  <si>
    <t>PF - Financial plan</t>
  </si>
  <si>
    <t>EZIDB0000642-1318336402-81</t>
  </si>
  <si>
    <t>https://idbg.sharepoint.com/teams/ez-CR-L1151/_layouts/15/DocIdRedir.aspx?ID=EZIDB0000642-1318336402-81</t>
  </si>
  <si>
    <t>EZIDB0000195-998400382-110</t>
  </si>
  <si>
    <t>https://idbg.sharepoint.com/teams/EZ-CR-LON/CR-L1065/_layouts/15/DocIdRedir.aspx?ID=EZIDB0000195-998400382-110</t>
  </si>
  <si>
    <t>EZIDB0000195-822257051-222</t>
  </si>
  <si>
    <t>https://idbg.sharepoint.com/teams/EZ-CR-LON/CR-L1137/_layouts/15/DocIdRedir.aspx?ID=EZIDB0000195-822257051-222</t>
  </si>
  <si>
    <t>EZIDB0000195-1127813953-75</t>
  </si>
  <si>
    <t>EZIDB0003356-828744887-9</t>
  </si>
  <si>
    <t>https://idbg.sharepoint.com/teams/ez-CR-L1157/_layouts/15/DocIdRedir.aspx?ID=EZIDB0003356-828744887-9</t>
  </si>
  <si>
    <t>Fecha revision</t>
  </si>
  <si>
    <t>Rol</t>
  </si>
  <si>
    <t>Jefe de Equipo</t>
  </si>
  <si>
    <t>ANSALDO, MARIANO PEDRO</t>
  </si>
  <si>
    <t>CORCUERA-SANTAMARIA, SANDRA</t>
  </si>
  <si>
    <t>POSADAS, ARNALDO ENRIQUE</t>
  </si>
  <si>
    <t>CASTRO DE SOUZA MAROTTA, LUANA</t>
  </si>
  <si>
    <t>MEJIA REYES, EDWIN ORLANDO</t>
  </si>
  <si>
    <t>Jefe de Equipo alterno</t>
  </si>
  <si>
    <t>RODRIGUEZ PORCEL, MANUEL</t>
  </si>
  <si>
    <t>ABIZANDA MIRO, BEATRIZ</t>
  </si>
  <si>
    <t>SAIZ, ANA MARIA</t>
  </si>
  <si>
    <t>PARAISO PINTO FURTADO LUZES, MARTA</t>
  </si>
  <si>
    <t>ALARCON, ARTURO</t>
  </si>
  <si>
    <t>BIEHL, MARIA LORETO</t>
  </si>
  <si>
    <t>Abogado</t>
  </si>
  <si>
    <t>BARRAGAN CRESPO, ENRIQUE IGNACIO</t>
  </si>
  <si>
    <t>LANDAZURI-LEVEY, MARIA C.</t>
  </si>
  <si>
    <t>LUGO MORENO, MONICA BIBIANA</t>
  </si>
  <si>
    <t>Abogado alterno</t>
  </si>
  <si>
    <t>SANMARTIN BAEZ, ALVARO LUIS</t>
  </si>
  <si>
    <t>Especialista Adquisiciones</t>
  </si>
  <si>
    <t>RODRIGUEZ PEREZ, ARIEL ENRIQUE</t>
  </si>
  <si>
    <t>Especialista Financiera</t>
  </si>
  <si>
    <t>HIDROVO, MARCELA VANESSA</t>
  </si>
  <si>
    <t>Apoyo a la tarea fiduciaria</t>
  </si>
  <si>
    <t>OVIEDO BENAVIDES, GUSTAVO ALONSO</t>
  </si>
  <si>
    <t>OVIEDO BENAVIDES GUSTAVO ALONSO</t>
  </si>
  <si>
    <t>Equipo de ESG</t>
  </si>
  <si>
    <t>HERNANDEZ, GABRIEL ANTONIO</t>
  </si>
  <si>
    <t>ARELLANO CASTILLO, RAUL</t>
  </si>
  <si>
    <t>FARINACCIO, ALESSANDRO</t>
  </si>
  <si>
    <t>PASTOR PIMENTEL, SEABELL ANNETTE</t>
  </si>
  <si>
    <t>PORTA GARCIA, RAIMON</t>
  </si>
  <si>
    <t>Analista 1</t>
  </si>
  <si>
    <t>VEGA GAMBOA, JORGE DANIEL</t>
  </si>
  <si>
    <t>MORA VARGAS, GREIVIN GERARDO</t>
  </si>
  <si>
    <t>BUSTOS BRENES, JUAN CARLOS</t>
  </si>
  <si>
    <t>YGLESIAS FISCHEL, SOFIA</t>
  </si>
  <si>
    <t>BORBON MUNOZ, ALVARO</t>
  </si>
  <si>
    <t>Analista 2</t>
  </si>
  <si>
    <t>QUIROS SOLANO, FERNANDO ANDRES</t>
  </si>
  <si>
    <t>Analista 3</t>
  </si>
  <si>
    <t>GONZALO RODRIGUEZ VALVERDE</t>
  </si>
  <si>
    <t>VIVIANA NUNEZ DE URQUIDI</t>
  </si>
  <si>
    <t>Analista 4</t>
  </si>
  <si>
    <t>GUTIERRES WUERZIUS, LUCIANO</t>
  </si>
  <si>
    <t>ALVAREZ GONZALEZ, OSCAR ANDRES</t>
  </si>
  <si>
    <t>Analista 5</t>
  </si>
  <si>
    <t>Analista 6</t>
  </si>
  <si>
    <t>Fecha de corte: 06 abril 2026</t>
  </si>
  <si>
    <t>Operacion</t>
  </si>
  <si>
    <t>Producto Crítico</t>
  </si>
  <si>
    <t>Estado</t>
  </si>
  <si>
    <t>Adquisición Crítica</t>
  </si>
  <si>
    <t>Riesgos/Comentarios</t>
  </si>
  <si>
    <t>Resultado asociado</t>
  </si>
  <si>
    <t xml:space="preserve">Departamentos de la FP capacitados en análisis criminal y monitoreo de dinámicas delictivas </t>
  </si>
  <si>
    <t>Logrado</t>
  </si>
  <si>
    <t>1.1 Homicidios en distritos priorizados  [tasa] y 1.2 Asaltos en distritos priorizados [tasa]</t>
  </si>
  <si>
    <t>Estrategias policiales basadas en evidencia diseñadas e implementadas</t>
  </si>
  <si>
    <t>En tiempo</t>
  </si>
  <si>
    <t>Delegaciones diseñadas, construidas, equipadas y operando bajo enfoque de policía comunitaria</t>
  </si>
  <si>
    <t>DP Limón y El Roble</t>
  </si>
  <si>
    <t>Procesos estimados para finalizar en 2027 cerca del fin del plazo de desembolsos</t>
  </si>
  <si>
    <t>Centro de Mando y Control Policial construido, equipado y en funcionamiento</t>
  </si>
  <si>
    <t>D+C obra y adenda para suministro de equipo</t>
  </si>
  <si>
    <t xml:space="preserve">Adenda para incorporar equipo tecnológico tiene un plazo de ejecución cercano a la finalización del programa. </t>
  </si>
  <si>
    <t>Estrategia de comunicación social de los CCP diseñada e implementada</t>
  </si>
  <si>
    <t>2.1 Exclusión escolar (fuera del sistema educativo) de jóvenes entre 12 y 17 años que participan en los CCP [porcentaje] y 2.2 Proporción de aprehensiones de jóvenes menores de edad en los distritos de influencia de los CCP con respecto al total país [porcentaje]</t>
  </si>
  <si>
    <t>Municipalidades y grupos de sociedad civil capacitados en prevención de violencia</t>
  </si>
  <si>
    <t>Centros Cívicos diseñados, construidos, equipados y operando</t>
  </si>
  <si>
    <t>Retrasado</t>
  </si>
  <si>
    <t>CCP Perez Zeledón, San José y Goicoechea</t>
  </si>
  <si>
    <t>Procesos estimados para finalizar en 2027 cerca del fin del plazo de desembolsos. Avance físico limitado con riesgo de finalizar con retraso.</t>
  </si>
  <si>
    <t xml:space="preserve">Modelo de gestión y atención de los CCP homologado, fortalecido y en funcionamiento </t>
  </si>
  <si>
    <t>Apoyo al mecanismo de regularización de personas migrantes</t>
  </si>
  <si>
    <t>Contratación de personal de apoyo a los procesos</t>
  </si>
  <si>
    <t>Capacidad de presupuestación de fondos limita el ritmo de contratación de personal de apoyo</t>
  </si>
  <si>
    <t>1.1 Tiempo promedio entre solicitud y entrevista para el trámite de obtención del status de refugiado [años] y 1.4 Porcentaje de solicitudes de protección especial complementaria que son resueltas en un plazo menor a un año [%]</t>
  </si>
  <si>
    <t>Unidad de refugio construida, equipada y en funcionamiento</t>
  </si>
  <si>
    <t>D+C para construcción y equipamiento de unidad de refugio</t>
  </si>
  <si>
    <t>Campaña de comunicación contra la xenofobia realizada</t>
  </si>
  <si>
    <t>Diseño, implementación y evaluación de campaña de sensibilización (firma consultora)</t>
  </si>
  <si>
    <t>El proceso de adquisición no ha iniciado</t>
  </si>
  <si>
    <t>1.2 Porcentaje promedio de reacciones xenófobas a tweets de cuentas migratorias institucionales [%]</t>
  </si>
  <si>
    <t>Centro Cívico de Upala construido, equipado y en funcionamiento</t>
  </si>
  <si>
    <t>D+C para CCP de Upala</t>
  </si>
  <si>
    <t>1.3 Ratio de migrantes que asisten de manera recurrente a los centros de acogida y participan en actividades para la prevención social de la violencia [ratio]</t>
  </si>
  <si>
    <t>Programas de formación para la prevención de la trata de personas y tráfico ilegal de migrantes</t>
  </si>
  <si>
    <t>Formadores expertos en prevención de tráfico ilícito (3 consultores individuales)</t>
  </si>
  <si>
    <t>Procesos formativos para el fortalecimiento de los Centros Cívicos</t>
  </si>
  <si>
    <t>Gestor metodológico y Facilitadores de formación en CCP (cons. Individuales)</t>
  </si>
  <si>
    <t>Actualización de plataforma tecnológica de la DGME</t>
  </si>
  <si>
    <t xml:space="preserve">Tramo Central Sifón – Sucre </t>
  </si>
  <si>
    <t>Pausado</t>
  </si>
  <si>
    <t>Contratación para el diseño y construcción del Tramo Central de la Ruta Nacional no. 35</t>
  </si>
  <si>
    <t>En análisis por FMP y TSP junto con el OE sobre siguiente estado del proceso: declaración de infructuoso, cancelación, o nueva fuente de financiamiento.</t>
  </si>
  <si>
    <t>1.1 Tiempo promedio de recorrido por vehículo en el tramo Florencia RN-1
1.2 Costo de operación vehicular en el tramo de Florencia RN-1 (vehículo liviano)
1.3. Nivel de seguridad vial (cantidad de estrellas mediante la metodología de iRAP) de la RN-35
1.5. Sitios de la vía en el tramo de Abundancia Sifón (Tramo Central) afectados por inundaciones debido a precipitaciones con un período de retorno de 100 años.</t>
  </si>
  <si>
    <t xml:space="preserve">Obras complementarias en el Tramo Central Sección Sucre – Abundancia </t>
  </si>
  <si>
    <t>Punta Sur de la RN-35 diseñado y construido</t>
  </si>
  <si>
    <t xml:space="preserve">Contratación para el diseño y construcción de la Punta Sur de la Ruta Nacional no. 35 </t>
  </si>
  <si>
    <t>Lote 1 firmado
Lote 2 firmado.</t>
  </si>
  <si>
    <t>1.1 Tiempo promedio de recorrido por vehículo en el tramo Florencia RN-1
1.2 Costo de operación vehicular en el tramo de Florencia RN-1 (vehículo liviano)
1.3. Nivel de seguridad vial (cantidad de estrellas mediante la metodología de iRAP) de la RN-35</t>
  </si>
  <si>
    <t xml:space="preserve">Obras complementarias en la Punta Norte </t>
  </si>
  <si>
    <t>Contratación de para el diseño y construcción de los sistemas de iluminación vial para la Punta Norte de la RN No. 35 (Sección ciudad Quesada / Florencia)</t>
  </si>
  <si>
    <t>Guía de indicadores mínimos para el monitoreo de la gestión de operación y mantenimiento del corredor RN-35</t>
  </si>
  <si>
    <t>Plan de comunicación para promoción de prácticas seguras de conducción en el corredor</t>
  </si>
  <si>
    <t>Plan de mejora de las capacidades de gestión de riesgo de desastres y CC</t>
  </si>
  <si>
    <t>Programa de capacitación a funcionarios públicos para el diseño de pliegos con enfoque de género</t>
  </si>
  <si>
    <t>Número de funcionarios municipales capacitados</t>
  </si>
  <si>
    <t>Consultor individual que realice el PCR de operación</t>
  </si>
  <si>
    <t>Número de cantones con Planes Viales Quinquenales de conservación y desarrollo elaborados</t>
  </si>
  <si>
    <t>Manuales de seguridad vial y gestión socioambiental elaborados</t>
  </si>
  <si>
    <t>Sistema de Gestión de activos viales implementado</t>
  </si>
  <si>
    <t>Cantones con intervención de seguridad vial</t>
  </si>
  <si>
    <t>Mantenimiento rutinario por estándares realizado a través de microempresas</t>
  </si>
  <si>
    <t>Puentes construidos o rehabilitados</t>
  </si>
  <si>
    <t>Construcción de puentes (paquetes), rehabilitados (Incluye diseño adaptados a cambio climático).</t>
  </si>
  <si>
    <t>Evaluación Ex Post de resultados pendiente</t>
  </si>
  <si>
    <t>Caminos cantonales rehabilitados</t>
  </si>
  <si>
    <t>Rehabilitación de caminos (paquetes)</t>
  </si>
  <si>
    <t>1.1 Densidad de vías cantonales en buen estado
2.1 1 Costos de operación vehicular en tramos que pasan de Lastre o Tierra a Tratamiento Bituminoso Simple (TBS)
3.1 Costos de viaje en tramos que pasan de Lastre o Tierra a Tratamiento Bituminoso Simple (TBS)</t>
  </si>
  <si>
    <t>Lote #4 OBIS corredor San Ramón–San José: Intercambio de Naranjo</t>
  </si>
  <si>
    <t>D+C Intercambio de Naranjo</t>
  </si>
  <si>
    <t xml:space="preserve">Contrato adjudicado aún no firmado.
En proceso de finalizar expropiaciones. </t>
  </si>
  <si>
    <t>1.1 Costos de operación vehicular ponderado en los sitios de las OBIS en el tramo San José – San Ramón. 
2.1 Tiempo de viaje promedio de los vehículos que circulan por el tramo San José -San Ramón en la hora de mayor congestión
3.1 Sumario de toneladas retenidas (ahorro) de emisiones de CO2 generadas por los vehículos que circulan en el tramo San José – San Ramón.</t>
  </si>
  <si>
    <t>Lote #4 OBIS corredor San Ramón–San José: Intercambio de Coyol</t>
  </si>
  <si>
    <t>D+C Intercambio de Coyol</t>
  </si>
  <si>
    <t>En revisión enmienda al contrato por ajustes en el diseño final que implicaría aumento de alcance, costo y tiempo.</t>
  </si>
  <si>
    <t>Lote #4 OBIS – Supervisión D+C Intercambio Coyol</t>
  </si>
  <si>
    <t>Supervisión D+C Intercambio Coyol
(firma consultora)</t>
  </si>
  <si>
    <t>NOB condicionada a ajustes al documento de SDP.
Estimado por US$2.5 millones.</t>
  </si>
  <si>
    <t>Estudios de Estructuración integral en al menos dos proyectos APP realizados</t>
  </si>
  <si>
    <t>Estructuración APP #2</t>
  </si>
  <si>
    <t>Proyecto #2 aún no definido por el OE.</t>
  </si>
  <si>
    <t>4.1 Proyectos de Obras Viales Estructurados bajo la modalidad de APP</t>
  </si>
  <si>
    <t>Intercambios Taras – La Lima construidos</t>
  </si>
  <si>
    <t>CR-G1008</t>
  </si>
  <si>
    <t>1.1 Número total de hogares que disponen de sistema de saneamiento nuevo o mejorado y/o conexión al agua potable
1.2 Número total de espacios públicos que disponen de sistema saneamiento nuevos o mejorados</t>
  </si>
  <si>
    <t xml:space="preserve">Consultoría Diagnóstico para identificación y selección de necesidades de sistemas de saneamiento y capacitación a usuarios del sistema/  Diagnóstico para idenficar  hogares y principales barreras para su conectividad  a los servicios de los acueductos beneficiados por el PAPS. </t>
  </si>
  <si>
    <t xml:space="preserve">Se debe actualizar la planificación para validarla mediante un taller de arranque, junto con la Unidad Ejecutora y la Jefe de Equipo. </t>
  </si>
  <si>
    <t>1.1 Número total de hogares que disponen de sistema de saneamiento nuevo o mejorado y/o conexión al agua potable.
1. 2 Número total de espacios públicos que disponen de sistema saneamiento nuevos o mejorados</t>
  </si>
  <si>
    <t>1.1 Número total de hogares que disponen de sistema de saneamiento nuevo o mejorado y/o conexión al agua potable</t>
  </si>
  <si>
    <t>Diseño de la obra e inspección (sistemas de saneamiento).</t>
  </si>
  <si>
    <t>1.1 Número total de hogares que disponen de sistema de saneamiento nuevo o mejorado y/o conexión al agua potable.</t>
  </si>
  <si>
    <t>Sistemas de Saneamiento en hogares rurales (construcción de la obra)</t>
  </si>
  <si>
    <t>Tramo Limonal - Cañas rehabilitado y ampliado</t>
  </si>
  <si>
    <t>Construcción de la Ampliación y Rehabilitación del Tramo de Carretera Limonal-Cañas</t>
  </si>
  <si>
    <t>Evaluación de resultados pendiente para confirmar cumplimiento de indicadores</t>
  </si>
  <si>
    <t>1.1 Costo de operación de automóvil Limonal – Cañas
1.2 Costo de operación de camioneta Limonal – Cañas
1.3 Costo de operación de autobús Limonal – Cañas
1.4 Costo de operación de camión C2 Limonal – Cañas
1.5 Costo de operación de camión C3 Limonal – Cañas
1.6 Costo de operación de camión articulado Limonal – Cañas
2.1 Tiempo medio de viaje de automóvil Limonal – Cañas
2.2 Tiempo medio de viaje de camioneta Limonal – Cañas
2.3 Tiempo medio de viaje de autobús Limonal – Cañas
2.4 Tiempo medio de viaje de camión C2 Limonal – Cañas
2.5 Tiempo medio de viaje de camión C3 Limonal – Cañas
2.6 Tiempo medio de viaje de camión articulado Limonal – Cañas
3.2 Nivel de seguridad de la vía del tramo Limonal - Cañas</t>
  </si>
  <si>
    <t>Tramo Playa Naranjo - Paquera rehabilitado y ampliado</t>
  </si>
  <si>
    <t>Construcción de la Ampliación y Rehabilitación del Tramo de Carretera Playa Naranjo – Paquera RN 160</t>
  </si>
  <si>
    <t>1.7 Costo de operación de automóvil Playa Naranjo - Paquera
1.8 Costo de operación de camioneta Playa Naranjo - Paquera
1.9 Costo de operación de autobús Playa Naranjo - Paquera
1.10 Costo de operación de camión C2 Playa Naranjo - Paquera
1.11 Costo de operación de camión C3 Playa Naranjo - Paquera
1.12 Costo de operación de camión articulado Playa Naranjo - Paquera
2.7 Tiempo medio de viaje de automóvil Playa Naranjo - Paquera
2.8 Tiempo medio de viaje de camioneta Playa Naranjo - Paquera
2.9 Tiempo medio de viaje de autobús Playa Naranjo - Paquera
2.10 Tiempo medio de viaje de camión C2 Playa Naranjo - Paquera
2.11 Tiempo medio de viaje de camión C3 Playa Naranjo - Paquera
2.12 Tiempo medio de viaje de camión articulado Playa Naranjo - Paquera
3.3 Nivel de seguridad de la vía del tramo Playa Naranjo - Paquera</t>
  </si>
  <si>
    <t>Tramo Barranca-Limonal rehabilitado y ampliado</t>
  </si>
  <si>
    <t>Rehabilitación y ampliación a cuatro carriles de la Ruta Nacional No. 1, Sección Barranca – Limonal (SICOP 2025LY-00001-0003000001)</t>
  </si>
  <si>
    <t>La unidad ejecutora no tiene responsabilidad directa sobre el proceso al estar a cargo de CONAVI con contrapartida
El plazo de ejecución de las obras supera el plazo actual del programa PIT</t>
  </si>
  <si>
    <t xml:space="preserve">1.13 Costo de operación de automóvil Barranca - Limonal
1.14 Costo de operación de camioneta Barranca - Limonal
1.15 Costo de operación de autobús Barranca - Limonal
1.16 Costo de operación de camión C2 Barranca - Limonal
1.17 Costo de operación de camión C3 Barranca - Limonal
1.18 Costo de operación de camión articulado Barranca - Limonal
2.13 Tiempo medio de viaje de automóvil Barranca - Limonal
2.14 Tiempo medio de viaje de camioneta Barranca - Limonal
2.15 Tiempo medio de viaje de autobús Barranca - Limonal
2.16 Tiempo medio de viaje de camión C2 Barranca - Limonal
2.17 Tiempo medio de viaje de camión C3 Barranca - Limonal
2.18 Tiempo medio de viaje de camión articulado Barranca - Limonal
3.1 Nivel de seguridad de la vía del tramo Barranca Limonal </t>
  </si>
  <si>
    <t>Rompeolas de Caldera rehabilitado y ampliado</t>
  </si>
  <si>
    <t xml:space="preserve">3.4 Probabilidad de ocurrencia de una falla grave en el rompeolas del Puerto de Caldera </t>
  </si>
  <si>
    <t>Terminales de transbordadores rehabilitadas</t>
  </si>
  <si>
    <t xml:space="preserve">3.5 Porcentaje de tiempo de operatividad de las terminales de transbordadores del Golfo de Nicoya 
3.6 Aumento de satisfacción de usuarios de las terminales de Transbordadores (Hombres) 
3.7 Aumento de satisfacción de usuarios de las terminales de Transbordadores (Mujeres) </t>
  </si>
  <si>
    <t>Centros educativos priorizados con programas de clima escolar con enfoque en diversidad implementados</t>
  </si>
  <si>
    <t>Computadoras personales entregadas</t>
  </si>
  <si>
    <t>Cupos abiertos al personal educativo de cursos de formación para el desarrollo de competencias</t>
  </si>
  <si>
    <t>Equipos tecnológicos educativos de aula y para los estudiantes con criterios de eficiencia entregados a los Centros Educativos</t>
  </si>
  <si>
    <t>Estudios de grabación con equipamiento para la producción de materiales didácticos mejorados</t>
  </si>
  <si>
    <t>Informes sobre Autoevaluaciones docentes desarrolladas e implementadas</t>
  </si>
  <si>
    <t>Juntas Escolares y Administrativas que reciben asistencia técnica al menos una vez cada dos meses</t>
  </si>
  <si>
    <t>Paquetes de Libros de texto y cuadernos de estudiante</t>
  </si>
  <si>
    <t>Plataforma para el Sistema de gestión de Juntas Escolares y Administrativas, en funcionamiento</t>
  </si>
  <si>
    <t>Plataformas educativas desarrolladas con enfoque de género y diversidad para estudiantes y docentes con catálogo y repositorio de recursos digitales por competencias</t>
  </si>
  <si>
    <t>Reportes de actualización de Programas de Estudios (primera infancia, primaria, secundaria y educación de jóvenes y adultos) con enfoque por competencias aprobados</t>
  </si>
  <si>
    <t>Servicios de implementación de Planes de Recuperación de Aprendizajes (PRA) para centros educativos priorizados de primaria y secundaria entregados</t>
  </si>
  <si>
    <t>Servicios individuales de tutorías remotas en funcionamiento</t>
  </si>
  <si>
    <t>Modelo de fiscalización de la calidad de servicios en las Organizaciones de Bienestar Social</t>
  </si>
  <si>
    <t>Modelo de focalización con línea de pobreza ajustada por discapacidad y dependencia</t>
  </si>
  <si>
    <t>Plataforma de vinculación de usuarios de servicios de cuidados y personas cuidadoras (CUIDAR.CR)</t>
  </si>
  <si>
    <t>Registro Nacional de Personas Cuidadoras con código QR en CUIDAR.CR</t>
  </si>
  <si>
    <t>Sistema de valoración funcional de la dependencia</t>
  </si>
  <si>
    <t>Ventanilla Única de Servicios con baremo incorporado al sistema de referencias del SINIRUBE</t>
  </si>
  <si>
    <t>Casa de máquinas modernizada</t>
  </si>
  <si>
    <t>Luminarias LED instaladas</t>
  </si>
  <si>
    <t>Obras de captación de agua modernizadas</t>
  </si>
  <si>
    <t>Transformadores de potencia y reactores instalados</t>
  </si>
  <si>
    <t>Ciclo I-2026 (Con corte de datos a dic 2025)</t>
  </si>
  <si>
    <t>Programa</t>
  </si>
  <si>
    <t>Nombre</t>
  </si>
  <si>
    <t>Calificación Calculada</t>
  </si>
  <si>
    <t>Calificación Validada</t>
  </si>
  <si>
    <t>Desembolsos</t>
  </si>
  <si>
    <t>SPI</t>
  </si>
  <si>
    <t>SPI(a)</t>
  </si>
  <si>
    <t>CPI</t>
  </si>
  <si>
    <t>CPI(a)</t>
  </si>
  <si>
    <t>meses desde 95%</t>
  </si>
  <si>
    <t>Etapa</t>
  </si>
  <si>
    <t>Comentarios de simulación PMR</t>
  </si>
  <si>
    <t>Plan Acción 2026</t>
  </si>
  <si>
    <t>Programa de Infraestructura de Transporte</t>
  </si>
  <si>
    <t>ALERTA</t>
  </si>
  <si>
    <t>N/A</t>
  </si>
  <si>
    <t xml:space="preserve">Mantiene como meta física finalizar Barranca-Limonal y 18km de ruta 35, así como una meta financiera de $113m para el 2026. Esto genera una alta probabilidad de que la operación finalice con una clasificación de problema (ningún sub-indicador estaría satisfactorio: ni desembolsos, ni metas físicas ni metas financieras planeadas para el año). </t>
  </si>
  <si>
    <t>Asegurar la finalización de pagos de obras complementarias y expropiaciones, así como gastos de ruta 35 con cargo a la operación.</t>
  </si>
  <si>
    <t>Programa Red Vial Cantonal II</t>
  </si>
  <si>
    <t>SATISFACTORIO</t>
  </si>
  <si>
    <t>No se advierten problemas para mantener la clasificación (operación en cierre)</t>
  </si>
  <si>
    <t>Programa de Infraestructura Vial y promoción de Asociaciones Público-Privadas (APP)</t>
  </si>
  <si>
    <t>No se anticipa riesgo de cambio de clasificación en 2026. Para mantener el indicador de desembolsos en satisfactorio sólo necesita desembolsar $9m en 2026 ($21,6m planeados). Riesgo medio de que SPI y CPI pasen a alerta en función de los gastos realmente reportados para 2026, pero los desembolsos, SPI(a) y CPI(a) mantendrían la operación en satisfactorio.</t>
  </si>
  <si>
    <t>Asegurar un desembolso de al menos $9m en 2026. Monitorear avance financiero de intercambios y Taras la Lima para evaluar impacto de metas físicas y financieras en 2027.</t>
  </si>
  <si>
    <t>Programa de Infraestructura Vial y Movilidad Urbana: conectividad resiliente</t>
  </si>
  <si>
    <t>El indicador de desembolsos requiere que se desmbolse el total planeado para 2026 ($20,2m) para mantenerse en alerta (requiere cerca de $35m para pasar a satisfactorio). El SPI probablemente pasará a alerta en 2026 y el SPI(a) requiere ejecutar alrededor de $8m en punta sur para mantenerse satisfactorio. Combinación de desembolsos y SPI en alerta + SPI(a), CPI y CPI(a) en satisfactorio mantendrían la operación en satisfactorio.</t>
  </si>
  <si>
    <t>Asegurar al menos la meta de desembolsos de la operación ($20,2m) y garantizar que gastos de punta sur + obras complementarias de punta norte superen los $8m (80% de lo planeado).</t>
  </si>
  <si>
    <t>Programa de Seguridad Ciudadana y Prevención de Violencia</t>
  </si>
  <si>
    <t>El indicador de desembolsos se mantendrá en satisfactorio, aun sin desembolsos adicionales. Indicadores SPI(a) y CPI(a) dependen de la finalización de obras planeadas para el 2026. (la operación ya finalizó las obras requeridas para el año y superará las metas físicas, pero como el simulador de la operación tiene errores, es difícil determinar exactamente el impacto de superar las metas).</t>
  </si>
  <si>
    <t>Asegurar la finalización de al menos 4 delegaciones policiales y 1 centro cívico en 2026.</t>
  </si>
  <si>
    <t>Programa Integral de Seguridad Ciudadana y Prevención de la Violencia para la Inclusión de Grupos Migrantes Vulnerables</t>
  </si>
  <si>
    <t>PROBLEMA</t>
  </si>
  <si>
    <t>El indicador de desembolsos se mantendrá en satisfactorio, aun sin desembolsos adicionales. Indicadores SPI(a), CPI y CPI(a) dependen en gran medida del avance en los procesos de regularización y podrían pasar a satisfactorio si se logra la meta de 60.000 procesos en 2026. Lo anterior es cierto siempre que el avance financiero de CCP Upala y Unidad de refugio sea al menos un 50% de lo planificado. A futuro, la operación se podría beneficiar de la eliminación de productos que no se van a ejecutar y se acordaron en el taller de arranque.</t>
  </si>
  <si>
    <t>Monitorear e impulsar la ejecución de los procesos de regularización para alcanzar la meta de 60.000 procesos completados en 2026. Seguimiento al avance de CCP Upala y Unidad de Refugio.</t>
  </si>
  <si>
    <t>Programa de Integración Fronteriza de Costa Rica</t>
  </si>
  <si>
    <t>Mejora de la calidad del Sistema Educativo en Costa Rica</t>
  </si>
  <si>
    <t>Actualmente esperando ratificación. Considerando un proceso de firma de contrato inusual, se recomienda cambiar la clasificación a satisfactorio. El sistema seguirá clasificandolo como alerta automáticamente hasta que obtenga la ratificación.</t>
  </si>
  <si>
    <t>Monitorear proceso de ratificación</t>
  </si>
  <si>
    <t>Apoyo al fortalecimiento y expansión del sistema nacional de cuidados de Costa Rica</t>
  </si>
  <si>
    <t>No indica</t>
  </si>
  <si>
    <t>Actualmente esperando ratificación. La operación no muestra clasificación ni gráfica de conteo de días hasta efectividad.</t>
  </si>
  <si>
    <t>Segundo Programa de Energía Renovable, Transmisión y Distribución de Electricidad</t>
  </si>
  <si>
    <t xml:space="preserve">Recién se firmó, por lo que para el próximo ciclo estarían contabilizando el plazo para alcanzar la elegibilidad. </t>
  </si>
  <si>
    <t>Monitorear proceso de elegibilidad.</t>
  </si>
  <si>
    <t>3071/OC-CR</t>
  </si>
  <si>
    <t>PIT</t>
  </si>
  <si>
    <t>3072/CH-CR</t>
  </si>
  <si>
    <t>Cantonal II</t>
  </si>
  <si>
    <t>4864/OC-CR</t>
  </si>
  <si>
    <t>PIV-APP</t>
  </si>
  <si>
    <t>5823/OC-CR</t>
  </si>
  <si>
    <t>San Carlos</t>
  </si>
  <si>
    <t>4871/OC-CR</t>
  </si>
  <si>
    <t>Seguridad Ciudadana</t>
  </si>
  <si>
    <t>Migración</t>
  </si>
  <si>
    <t>PIF</t>
  </si>
  <si>
    <t>Educación</t>
  </si>
  <si>
    <t>Cuidadados</t>
  </si>
  <si>
    <t>Energía II</t>
  </si>
  <si>
    <t>Resultados por Operación — Probabilidad de Logro</t>
  </si>
  <si>
    <t>Objetivo_ID</t>
  </si>
  <si>
    <t>Objetivo_Descripcion</t>
  </si>
  <si>
    <t>Indicador_ID</t>
  </si>
  <si>
    <t>Indicador_Descripcion</t>
  </si>
  <si>
    <t>Linea_Base</t>
  </si>
  <si>
    <t>Meta</t>
  </si>
  <si>
    <t>Probabilidad_Logro</t>
  </si>
  <si>
    <t>1</t>
  </si>
  <si>
    <t>Restablecer la disponibilidad operativa y eficiencia de la planta hidroeléctrica Ventanas-Garita</t>
  </si>
  <si>
    <t>1.1</t>
  </si>
  <si>
    <t>Tiempo total de interrupciones forzadas [Horas/año]</t>
  </si>
  <si>
    <t>Alta</t>
  </si>
  <si>
    <t>1.2</t>
  </si>
  <si>
    <t>Tiempo total de interrupciones programadas [Horas/año]</t>
  </si>
  <si>
    <t>1.3</t>
  </si>
  <si>
    <t>Mujeres contratadas durante la modernización de PHVG [%]</t>
  </si>
  <si>
    <t>2</t>
  </si>
  <si>
    <t>Mejorar la confiabilidad de la red de transmisión</t>
  </si>
  <si>
    <t>2.1</t>
  </si>
  <si>
    <t>Duración promedio de las fallas en equipos de transformación [min] (*)</t>
  </si>
  <si>
    <t>Media</t>
  </si>
  <si>
    <t>2.2</t>
  </si>
  <si>
    <t>Tasa de falla de transformadores de potencia [%] (*)</t>
  </si>
  <si>
    <t>3</t>
  </si>
  <si>
    <t>Incrementar la eficiencia del parque de alumbrado público gestionado por el ICE</t>
  </si>
  <si>
    <t>3.1</t>
  </si>
  <si>
    <t>Consumo de electricidad anual del sistema de alumbrado público [MWh/año]</t>
  </si>
  <si>
    <t>Contribuir a reducir la vulnerabilidad de la población migrante a la violencia, la marginalidad y la discriminación</t>
  </si>
  <si>
    <t>Tiempo promedio entre solicitud y entrevista para el trámite de obtención del status de refugiado [años]</t>
  </si>
  <si>
    <t>Porcentaje promedio de reacciones xenófobas a tweets de cuentas migratorias institucionales [%]</t>
  </si>
  <si>
    <t>Baja</t>
  </si>
  <si>
    <t>Ratio de migrantes que asisten de manera recurrente a los centros de acogida y participan en actividades para la prevención social de la violencia [ratio]</t>
  </si>
  <si>
    <t>1.4</t>
  </si>
  <si>
    <t>Porcentaje de solicitudes de protección especial complementaria que son resueltas en un plazo menor a un año [%]</t>
  </si>
  <si>
    <t>Disminuir los costos de operación vehicular</t>
  </si>
  <si>
    <t>Costo de operación de automóvil Limonal – Cañas [US$/veh-km]</t>
  </si>
  <si>
    <t>Costo de operación de camioneta Limonal – Cañas [US$/veh-km]</t>
  </si>
  <si>
    <t>Costo de operación de autobús Limonal – Cañas [US$/veh-km]</t>
  </si>
  <si>
    <t>Costo de operación de camión C2 Limonal – Cañas [US$/veh-km]</t>
  </si>
  <si>
    <t>1.5</t>
  </si>
  <si>
    <t>Costo de operación de camión C3 Limonal – Cañas [US$/veh-km]</t>
  </si>
  <si>
    <t>1.6</t>
  </si>
  <si>
    <t>Costo de operación de camión articulado Limonal – Cañas [US$/veh-km]</t>
  </si>
  <si>
    <t>1.7</t>
  </si>
  <si>
    <t>Costo de operación de automóvil Playa Naranjo - Paquera [US$/veh-km]</t>
  </si>
  <si>
    <t>1.8</t>
  </si>
  <si>
    <t>Costo de operación de camioneta Playa Naranjo - Paquera [US$/veh-km]</t>
  </si>
  <si>
    <t>1.9</t>
  </si>
  <si>
    <t>Costo de operación de autobús Playa Naranjo - Paquera [US$/veh-km]</t>
  </si>
  <si>
    <t>1.10</t>
  </si>
  <si>
    <t>Costo de operación de camión C2 Playa Naranjo - Paquera [US$/veh-km]</t>
  </si>
  <si>
    <t>1.11</t>
  </si>
  <si>
    <t>Costo de operación de camión C3 Playa Naranjo - Paquera [US$/veh-km]</t>
  </si>
  <si>
    <t>1.12</t>
  </si>
  <si>
    <t>Costo de operación de camión articulado Playa Naranjo - Paquera [US$/veh-km]</t>
  </si>
  <si>
    <t>1.13</t>
  </si>
  <si>
    <t>Costo de operación de automóvil Barranca - Limonal [US$/veh-km]</t>
  </si>
  <si>
    <t>1.14</t>
  </si>
  <si>
    <t>Costo de operación de camioneta Barranca - Limonal [US$/veh-km]</t>
  </si>
  <si>
    <t>1.15</t>
  </si>
  <si>
    <t>Costo de operación de autobús Barranca - Limonal [US$/veh-km]</t>
  </si>
  <si>
    <t>1.16</t>
  </si>
  <si>
    <t>Costo de operación de camión C2 Barranca - Limonal [US$/veh-km]</t>
  </si>
  <si>
    <t>1.17</t>
  </si>
  <si>
    <t>Costo de operación de camión C3 Barranca - Limonal [US$/veh-km]</t>
  </si>
  <si>
    <t>1.18</t>
  </si>
  <si>
    <t>Costo de operación de camión articulado Barranca - Limonal [US$/veh-km]</t>
  </si>
  <si>
    <t>Reducir tiempos de viaje de personas y bienes</t>
  </si>
  <si>
    <t>Tiempo medio de viaje de automóvil Limonal – Cañas [min]</t>
  </si>
  <si>
    <t>Tiempo medio de viaje de camioneta Limonal – Cañas [min]</t>
  </si>
  <si>
    <t>2.3</t>
  </si>
  <si>
    <t>Tiempo medio de viaje de autobús Limonal – Cañas [min]</t>
  </si>
  <si>
    <t>2.4</t>
  </si>
  <si>
    <t>Tiempo medio de viaje de camión C2 Limonal – Cañas [min]</t>
  </si>
  <si>
    <t>2.5</t>
  </si>
  <si>
    <t>Tiempo medio de viaje de camión C3 Limonal – Cañas [min]</t>
  </si>
  <si>
    <t>2.6</t>
  </si>
  <si>
    <t>Tiempo medio de viaje de camión articulado Limonal – Cañas [min]</t>
  </si>
  <si>
    <t>2.7</t>
  </si>
  <si>
    <t>Tiempo medio de viaje de automóvil Playa Naranjo - Paquera [min]</t>
  </si>
  <si>
    <t>2.8</t>
  </si>
  <si>
    <t>Tiempo medio de viaje de camioneta Playa Naranjo - Paquera [min]</t>
  </si>
  <si>
    <t>2.9</t>
  </si>
  <si>
    <t>Tiempo medio de viaje de autobús Playa Naranjo - Paquera [min]</t>
  </si>
  <si>
    <t>2.10</t>
  </si>
  <si>
    <t>Tiempo medio de viaje de camión C2 Playa Naranjo - Paquera [min]</t>
  </si>
  <si>
    <t>2.11</t>
  </si>
  <si>
    <t>Tiempo medio de viaje de camión C3 Playa Naranjo - Paquera [min]</t>
  </si>
  <si>
    <t>2.12</t>
  </si>
  <si>
    <t>Tiempo medio de viaje de camión articulado Playa Naranjo - Paquera [min]</t>
  </si>
  <si>
    <t>2.13</t>
  </si>
  <si>
    <t>Tiempo medio de viaje de automóvil Barranca - Limonal [min]</t>
  </si>
  <si>
    <t>2.14</t>
  </si>
  <si>
    <t>Tiempo medio de viaje de camioneta Barranca - Limonal [min]</t>
  </si>
  <si>
    <t>2.15</t>
  </si>
  <si>
    <t>Tiempo medio de viaje de autobús Barranca - Limonal [min]</t>
  </si>
  <si>
    <t>2.16</t>
  </si>
  <si>
    <t>Tiempo medio de viaje de camión C2 Barranca - Limonal [min]</t>
  </si>
  <si>
    <t>2.17</t>
  </si>
  <si>
    <t>Tiempo medio de viaje de camión C3 Barranca - Limonal [min]</t>
  </si>
  <si>
    <t>2.18</t>
  </si>
  <si>
    <t>Tiempo medio de viaje de camión articulado Barranca - Limonal [min]</t>
  </si>
  <si>
    <t>Incrementar la seguridad vial y portuaria</t>
  </si>
  <si>
    <t>Nivel de seguridad de la vía del tramo Barranca Limonal</t>
  </si>
  <si>
    <t>3.2</t>
  </si>
  <si>
    <t>Nivel de seguridad de la vía del tramo Limonal - Cañas</t>
  </si>
  <si>
    <t>3.3</t>
  </si>
  <si>
    <t>Nivel de seguridad de la vía del tramo Playa Naranjo - Paquera</t>
  </si>
  <si>
    <t>3.4</t>
  </si>
  <si>
    <t>Probabilidad de ocurrencia de una falla grave en el rompeolas del Puerto de Caldera</t>
  </si>
  <si>
    <t>42.2%</t>
  </si>
  <si>
    <t>1.4%</t>
  </si>
  <si>
    <t>3.5</t>
  </si>
  <si>
    <t>Porcentaje de tiempo de operatividad de las terminales de transbordadores del Golfo de Nicoya</t>
  </si>
  <si>
    <t>100%</t>
  </si>
  <si>
    <t>3.6</t>
  </si>
  <si>
    <t>Aumento de satisfacción de usuarios de las terminales de Transbordadores (Hombres)</t>
  </si>
  <si>
    <t>63.8%</t>
  </si>
  <si>
    <t>78.8%</t>
  </si>
  <si>
    <t>3.7</t>
  </si>
  <si>
    <t>Aumento de satisfacción de usuarios de las terminales de Transbordadores (Mujeres)</t>
  </si>
  <si>
    <t>61.6%</t>
  </si>
  <si>
    <t>76.6%</t>
  </si>
  <si>
    <t>Mejora de la condición de la Red Vial Cantonal</t>
  </si>
  <si>
    <t>Densidad de vías cantonales en buen estado [km de vías en buen estado / 1000 km2 de superficie]</t>
  </si>
  <si>
    <t>Disminución de costos de operación vehicular</t>
  </si>
  <si>
    <t>Costos de operación vehicular en tramos que pasan de Lastre o Tierra a Tratamiento Bituminoso Simple (TBS) [USD/km-veh]</t>
  </si>
  <si>
    <t>Disminución de costos de viaje</t>
  </si>
  <si>
    <t>Costos de viaje en tramos que pasan de Lastre o Tierra a Tratamiento Bituminoso Simple (TBS) [USD/km-veh]</t>
  </si>
  <si>
    <t>4</t>
  </si>
  <si>
    <t>Reducción de vulnerabilidad de las vías frente a efectos de CC</t>
  </si>
  <si>
    <t>4.1</t>
  </si>
  <si>
    <t>Caminos con paso interrumpido temporal o permanentemente debido a vulnerabilidad por eventos climáticos [porcentaje]</t>
  </si>
  <si>
    <t>5</t>
  </si>
  <si>
    <t>Fortalecimiento institucional de los Municipios</t>
  </si>
  <si>
    <t>5.1</t>
  </si>
  <si>
    <t>Porcentaje de Municipios que realizan su gestión vial con base en los Planes de conservación, desarrollo y seguridad vial (PCDSV) elaborados [porcentaje]</t>
  </si>
  <si>
    <t>6</t>
  </si>
  <si>
    <t>Aumento de presencia de mujeres en las microempresas de gestión vial</t>
  </si>
  <si>
    <t>6.1</t>
  </si>
  <si>
    <t>Porcentaje de mujeres socias en microempresas de mantenimiento vial existentes en el país [porcentaje]</t>
  </si>
  <si>
    <t>Densidad de vías cantonales en buen estado (km de vías cantonales en buen estado / 1000 km2 de superficie)</t>
  </si>
  <si>
    <t>Reducción de homicidios y asaltos en los distritos priorizados</t>
  </si>
  <si>
    <t>Homicidios en distritos priorizados [tasa]</t>
  </si>
  <si>
    <t>Asaltos en distritos priorizados [tasa]</t>
  </si>
  <si>
    <t>Reducción de comportamientos delictivos de adolescentes y jóvenes vulnerables a la violencia que participan en los CCP</t>
  </si>
  <si>
    <t>Exclusión escolar (fuera del sistema educativo) de jóvenes entre 12 y 17 años que participan en los CCP [porcentaje]</t>
  </si>
  <si>
    <t>Proporción de aprehensiones de jóvenes menores de edad en los distritos de influencia de los CCP con respecto al total país [porcentaje]</t>
  </si>
  <si>
    <t>Fortalecer los servicios educativos para recuperar aprendizajes</t>
  </si>
  <si>
    <t>Centros educativos priorizados que implementan al menos una intervención de recuperación [%]</t>
  </si>
  <si>
    <t>Estudiantes de primaria que completan el Programa de Tutorías en lecto escritura o matemática [%]</t>
  </si>
  <si>
    <t>Estudiantes de secundaria que completan el Programa de Tutorías en lecto escritura o matemática [%]</t>
  </si>
  <si>
    <t>Fortalecer la calidad de las condiciones de enseñanza-aprendizaje para el aprendizaje por competencias</t>
  </si>
  <si>
    <t>Estudiantes que usan las plataformas educativas [%]</t>
  </si>
  <si>
    <t>Personal que finaliza la enseñanza basada en el desarrollo de competencias con enfoque de género e inclusión [%]</t>
  </si>
  <si>
    <t>Estudiantes de primaria y secundaria que usan textos educativos [%]</t>
  </si>
  <si>
    <t>Porcentaje de cambio en el Índice de Clima Escolar en Centros Educativos priorizados [%]</t>
  </si>
  <si>
    <t>Equipos tecnológicos educativos de aula utilizados por docentes [%]</t>
  </si>
  <si>
    <t>Docentes que usan equipamiento tecnológico individual para su desarrollo profesional [%]</t>
  </si>
  <si>
    <t>Fortalecer la capacidad de gestión del MEP</t>
  </si>
  <si>
    <t>Centros Regionales de Medios Digitales que producen al menos 2 horas de materiales educativos [%]</t>
  </si>
  <si>
    <t>Oficinas regionales que reciben informes de gestión del perfil de formación docente semestralmente [#]</t>
  </si>
  <si>
    <t>JEAs que reportan planeamiento y gasto en el sistema de gestión centralizado al menos una vez al año [%]</t>
  </si>
  <si>
    <t>Objetivo de Desarrollo / Impacto</t>
  </si>
  <si>
    <t>Tasa de pobreza entre personas mayores de 65 años</t>
  </si>
  <si>
    <t>Por definir</t>
  </si>
  <si>
    <t>Porcentaje de personas cuidadoras con síntomas de depresión</t>
  </si>
  <si>
    <t>Índice de ampliación del acceso a beneficios del SINCA por condición de dependencia severa</t>
  </si>
  <si>
    <t>Aumento en la cobertura de los beneficios del SINCA entre personas con dependencia severa y en situación de pobreza</t>
  </si>
  <si>
    <t>Fortalecer la institucionalidad del SINCA a través de la actuación conjunta de las instituciones que la conforman</t>
  </si>
  <si>
    <t>Indicador 5.1 — Fortalecimiento institucional SINCA (detalle pendiente de ficha técnica)</t>
  </si>
  <si>
    <t>5.2</t>
  </si>
  <si>
    <t>Indicador 5.2 — Fortalecimiento institucional SINCA (detalle pendiente de ficha técnica)</t>
  </si>
  <si>
    <t>5.3</t>
  </si>
  <si>
    <t>Indicador 5.3 — Fortalecimiento institucional SINCA (detalle pendiente de ficha técnica)</t>
  </si>
  <si>
    <t>5.4</t>
  </si>
  <si>
    <t>Indicador 5.4 — Fortalecimiento institucional SINCA (detalle pendiente de ficha técnica)</t>
  </si>
  <si>
    <t>Fortalecimiento de la cobertura y calidad de los servicios de atención a la dependencia y de apoyo a los cuidadores</t>
  </si>
  <si>
    <t>Indicador 6.1 — Cobertura y calidad servicios de atención a la dependencia (detalle pendiente de ficha técnica)</t>
  </si>
  <si>
    <t>6.2</t>
  </si>
  <si>
    <t>Indicador 6.2 — Cobertura y calidad servicios de atención a la dependencia (detalle pendiente de ficha técnica)</t>
  </si>
  <si>
    <t>6.3</t>
  </si>
  <si>
    <t>Indicador 6.3 — Cobertura y calidad servicios de atención a la dependencia (detalle pendiente de ficha técnica)</t>
  </si>
  <si>
    <t>6.4</t>
  </si>
  <si>
    <t>Indicador 6.4 — Cobertura y calidad servicios de atención a la dependencia (detalle pendiente de ficha técnica)</t>
  </si>
  <si>
    <t>6.5</t>
  </si>
  <si>
    <t>Indicador 6.5 — Cobertura y calidad servicios de atención a la dependencia (detalle pendiente de ficha técnica)</t>
  </si>
  <si>
    <t>6.6</t>
  </si>
  <si>
    <t>Indicador 6.6 — Cobertura y calidad servicios de atención a la dependencia (detalle pendiente de ficha técnica)</t>
  </si>
  <si>
    <t>Mejorar las condiciones de circulación entre las zonas norte y centro del país de forma segura, sostenible y resiliente al CC, incorporando en su diseño la perspectiva de género</t>
  </si>
  <si>
    <t>Tiempo de recorrido de vehículos en el tramo Florencia – RN-1 [minutos]</t>
  </si>
  <si>
    <t>Tiempo de recorrido de vehículos pesados y autobús en el tramo Florencia – RN-1 [minutos]</t>
  </si>
  <si>
    <t>Costo de operación de vehículos (liviano) en el tramo Florencia – RN-1 [US$]</t>
  </si>
  <si>
    <t>Costo de operación de transporte público en el tramo Florencia – RN-1 [US$]</t>
  </si>
  <si>
    <t>Costo de operación de transporte de carga en el tramo Florencia – RN-1 [US$]</t>
  </si>
  <si>
    <t>Nivel de seguridad vial de la RN-35 (metodología iRAP) [estrellas]</t>
  </si>
  <si>
    <t>Aumento de participación femenina en obras [porcentaje]</t>
  </si>
  <si>
    <t>Sitios de la vía en el tramo Abundancia–Sifón afectados por inundaciones (período de retorno 100 años) [unidad]</t>
  </si>
  <si>
    <t>Disminuir los costos de operación vehicular del flujo de transporte de carga que circula por la RVAC que conecta con la GAM</t>
  </si>
  <si>
    <t>Costos de operación vehicular ponderado en los sitios de las OBIS en el tramo San José – San Ramón [US$ millones]</t>
  </si>
  <si>
    <t>Costos de operación vehicular ponderado del transporte en el tramo Taras – La Lima [US$ millones]</t>
  </si>
  <si>
    <t>Disminuir los tiempos de viaje de los vehículos que circulan por la RVAC que conecta con la GAM</t>
  </si>
  <si>
    <t>Tiempo de viaje promedio de los vehículos que circulan por el tramo San José - San Ramón en la hora de mayor congestión [minutos]</t>
  </si>
  <si>
    <t>Tiempo de viaje promedio de los vehículos que circulan por el tramo Taras – La Lima en la hora de mayor congestión [minutos]</t>
  </si>
  <si>
    <t>Minimizar las emisiones generadas por el transporte en la GAM</t>
  </si>
  <si>
    <t>Sumario de toneladas retenidas (ahorro) de emisiones de CO2 generadas por los vehículos que circulan en el tramo San José – San Ramón [toneladas]</t>
  </si>
  <si>
    <t>Sumario de toneladas retenidas (ahorro) de emisiones de CO2 generadas por los vehículos que circulan en el tramo Taras – La Lima [toneladas]</t>
  </si>
  <si>
    <t>Mejorar la capacidad técnica e institucional del GDCR para desarrollar proyectos viales mediante esquemas de APP</t>
  </si>
  <si>
    <t>Estudios de Estructuración integral en al menos 2 proyectos realizados</t>
  </si>
  <si>
    <t>Relación Indicadores ↔ Productos Críticos</t>
  </si>
  <si>
    <t>Producto_Critico</t>
  </si>
  <si>
    <t>Departamentos de la FP capacitados en análisis criminal y monitoreo de dinámicas delictivas</t>
  </si>
  <si>
    <t>Modelo de gestión y atención de los CCP homologado, fortalecido y en funcionamiento</t>
  </si>
  <si>
    <t>Tramo Central Sifón – Sucre</t>
  </si>
  <si>
    <t>Obras complementarias en el Tramo Central Sección Sucre – Abundancia</t>
  </si>
  <si>
    <t>Obras complementarias en la Punta Norte</t>
  </si>
  <si>
    <t>Clause_ID</t>
  </si>
  <si>
    <t>Fecha_Comentario</t>
  </si>
  <si>
    <t>Autor</t>
  </si>
  <si>
    <t>Comentario</t>
  </si>
  <si>
    <t>Estado_Gestion</t>
  </si>
  <si>
    <t>Fecha_Compromiso</t>
  </si>
  <si>
    <t>701558</t>
  </si>
  <si>
    <t>alvarobo</t>
  </si>
  <si>
    <t>Recordatorio enviado al jefe de equipo</t>
  </si>
  <si>
    <t>En gestión</t>
  </si>
  <si>
    <t>664364</t>
  </si>
  <si>
    <t>705320</t>
  </si>
  <si>
    <t>705321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</si>
</sst>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2" x14ac:knownFonts="1">
    <font>
      <sz val="11"/>
      <color theme="1"/>
      <name val="Aptos Narrow"/>
      <family val="2"/>
      <scheme val="minor"/>
    </font>
    <font>
      <u/>
      <sz val="11"/>
      <color theme="10"/>
      <name val="Aptos Narrow"/>
      <family val="2"/>
      <scheme val="minor"/>
    </font>
    <font>
      <b/>
      <sz val="11"/>
      <color theme="0"/>
      <name val="Aptos Narrow"/>
      <family val="2"/>
      <scheme val="minor"/>
    </font>
    <font>
      <b/>
      <sz val="11"/>
      <color theme="1"/>
      <name val="Aptos Narrow"/>
      <family val="2"/>
      <scheme val="minor"/>
    </font>
    <font>
      <b/>
      <sz val="14"/>
      <color theme="1"/>
      <name val="Aptos Narrow"/>
      <family val="2"/>
      <scheme val="minor"/>
    </font>
    <font>
      <sz val="11"/>
      <color theme="1"/>
      <name val="Aptos Narrow"/>
      <family val="2"/>
      <scheme val="minor"/>
    </font>
    <font>
      <sz val="11"/>
      <color rgb="FFFF0000"/>
      <name val="Aptos Narrow"/>
      <family val="2"/>
      <scheme val="minor"/>
    </font>
    <font>
      <sz val="11"/>
      <color theme="1"/>
      <name val="Aptos"/>
      <family val="2"/>
    </font>
    <font>
      <sz val="11"/>
      <color rgb="FFFFC000"/>
      <name val="Aptos Display"/>
      <family val="2"/>
    </font>
    <font>
      <sz val="11"/>
      <color rgb="FF00B050"/>
      <name val="Aptos Display"/>
      <family val="2"/>
    </font>
    <font>
      <sz val="11"/>
      <color rgb="FFFF0000"/>
      <name val="Aptos Display"/>
      <family val="2"/>
    </font>
    <font>
      <sz val="11"/>
      <color theme="1"/>
      <name val="Aptos Display"/>
      <family val="2"/>
    </font>
    <font>
      <sz val="11"/>
      <name val="Aptos Narrow"/>
      <family val="2"/>
      <scheme val="minor"/>
    </font>
    <font>
      <sz val="11"/>
      <color rgb="FF00B050"/>
      <name val="Aptos Narrow"/>
      <family val="2"/>
      <scheme val="minor"/>
    </font>
    <font>
      <sz val="11"/>
      <color rgb="FFFFC000"/>
      <name val="Aptos Narrow"/>
      <family val="2"/>
      <scheme val="minor"/>
    </font>
    <font>
      <b/>
      <sz val="11"/>
      <color theme="1"/>
      <name val="Aptos"/>
      <family val="2"/>
    </font>
    <font>
      <b/>
      <sz val="16"/>
      <color theme="1"/>
      <name val="Aptos Narrow"/>
      <family val="2"/>
      <scheme val="minor"/>
    </font>
    <font>
      <b/>
      <sz val="11"/>
      <name val="Arial"/>
    </font>
    <font>
      <b/>
      <sz val="10"/>
      <name val="Arial"/>
    </font>
    <font>
      <sz val="10"/>
      <name val="Arial"/>
    </font>
    <font>
      <b/>
      <sz val="11"/>
      <color rgb="FFE2E8F0"/>
      <name val="Arial"/>
    </font>
    <font>
      <b/>
      <sz val="11"/>
      <color rgb="FFFFFFFF"/>
      <name val="Aptos Narrow"/>
    </font>
  </fonts>
  <fills count="8">
    <fill>
      <patternFill patternType="none"/>
    </fill>
    <fill>
      <patternFill patternType="gray125"/>
    </fill>
    <fill>
      <patternFill patternType="solid">
        <fgColor theme="4"/>
        <bgColor theme="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0A0E1A"/>
      </patternFill>
    </fill>
    <fill>
      <patternFill patternType="solid">
        <fgColor rgb="FF1F3864"/>
      </patternFill>
    </fill>
  </fills>
  <borders count="28">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1F2D45"/>
      </left>
      <right style="thin">
        <color rgb="FF1F2D45"/>
      </right>
      <top style="thin">
        <color rgb="FF1F2D45"/>
      </top>
      <bottom style="thin">
        <color rgb="FF1F2D45"/>
      </bottom>
      <diagonal/>
    </border>
    <border>
      <left/>
      <right style="thin">
        <color indexed="64"/>
      </right>
      <top style="thin">
        <color indexed="64"/>
      </top>
      <bottom style="thin">
        <color indexed="64"/>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s>
  <cellStyleXfs count="3">
    <xf numFmtId="0" fontId="0" fillId="0" borderId="0"/>
    <xf numFmtId="9" fontId="5" fillId="0" borderId="0"/>
    <xf numFmtId="0" fontId="1" fillId="0" borderId="0"/>
  </cellStyleXfs>
  <cellXfs count="97">
    <xf numFmtId="0" fontId="0" fillId="0" borderId="0" xfId="0"/>
    <xf numFmtId="0" fontId="0" fillId="0" borderId="0" xfId="0" applyAlignment="1">
      <alignment horizontal="center"/>
    </xf>
    <xf numFmtId="0" fontId="0" fillId="0" borderId="0" xfId="0" applyAlignment="1">
      <alignment horizontal="left" vertical="center"/>
    </xf>
    <xf numFmtId="0" fontId="0" fillId="0" borderId="1" xfId="0" applyBorder="1"/>
    <xf numFmtId="0" fontId="2" fillId="2" borderId="2" xfId="0" applyFont="1" applyFill="1" applyBorder="1" applyAlignment="1">
      <alignment horizontal="center"/>
    </xf>
    <xf numFmtId="0" fontId="0" fillId="0" borderId="2" xfId="0" applyBorder="1" applyAlignment="1">
      <alignment horizontal="center"/>
    </xf>
    <xf numFmtId="14" fontId="0" fillId="0" borderId="0" xfId="0" applyNumberFormat="1" applyAlignment="1">
      <alignment horizontal="center"/>
    </xf>
    <xf numFmtId="0" fontId="0" fillId="4" borderId="2" xfId="0" applyFill="1" applyBorder="1" applyAlignment="1">
      <alignment horizontal="center"/>
    </xf>
    <xf numFmtId="14" fontId="0" fillId="0" borderId="0" xfId="0" applyNumberFormat="1" applyAlignment="1">
      <alignment horizontal="left"/>
    </xf>
    <xf numFmtId="0" fontId="4" fillId="0" borderId="15" xfId="0" applyFont="1" applyBorder="1" applyAlignment="1">
      <alignment horizontal="left" vertical="center"/>
    </xf>
    <xf numFmtId="0" fontId="4" fillId="0" borderId="16" xfId="0" applyFont="1" applyBorder="1" applyAlignment="1">
      <alignment horizontal="left" vertical="center"/>
    </xf>
    <xf numFmtId="0" fontId="4" fillId="0" borderId="17" xfId="0" applyFont="1" applyBorder="1" applyAlignment="1">
      <alignment horizontal="left" vertical="center"/>
    </xf>
    <xf numFmtId="0" fontId="0" fillId="0" borderId="4" xfId="0" applyBorder="1" applyAlignment="1">
      <alignment horizontal="left" vertical="center"/>
    </xf>
    <xf numFmtId="0" fontId="0" fillId="0" borderId="5" xfId="0" applyBorder="1" applyAlignment="1">
      <alignment horizontal="left" vertical="center" wrapText="1"/>
    </xf>
    <xf numFmtId="0" fontId="0" fillId="5" borderId="5" xfId="0" applyFill="1" applyBorder="1" applyAlignment="1">
      <alignment horizontal="left" vertical="center"/>
    </xf>
    <xf numFmtId="0" fontId="0" fillId="0" borderId="5" xfId="0" applyBorder="1" applyAlignment="1">
      <alignment horizontal="left" vertical="center"/>
    </xf>
    <xf numFmtId="0" fontId="0" fillId="0" borderId="6" xfId="0" applyBorder="1" applyAlignment="1">
      <alignment horizontal="left" vertical="center" wrapText="1"/>
    </xf>
    <xf numFmtId="0" fontId="0" fillId="0" borderId="7" xfId="0" applyBorder="1" applyAlignment="1">
      <alignment horizontal="left" vertical="center"/>
    </xf>
    <xf numFmtId="0" fontId="0" fillId="0" borderId="0" xfId="0" applyAlignment="1">
      <alignment horizontal="left" vertical="center" wrapText="1"/>
    </xf>
    <xf numFmtId="0" fontId="0" fillId="5" borderId="0" xfId="0" applyFill="1" applyAlignment="1">
      <alignment horizontal="left" vertical="center"/>
    </xf>
    <xf numFmtId="0" fontId="0" fillId="0" borderId="8" xfId="0" applyBorder="1" applyAlignment="1">
      <alignment horizontal="left" vertical="center" wrapText="1"/>
    </xf>
    <xf numFmtId="0" fontId="0" fillId="3" borderId="0" xfId="0" applyFill="1" applyAlignment="1">
      <alignment horizontal="left" vertical="center"/>
    </xf>
    <xf numFmtId="0" fontId="0" fillId="0" borderId="13" xfId="0" applyBorder="1" applyAlignment="1">
      <alignment horizontal="left" vertical="center"/>
    </xf>
    <xf numFmtId="0" fontId="0" fillId="0" borderId="12" xfId="0" applyBorder="1" applyAlignment="1">
      <alignment horizontal="left" vertical="center" wrapText="1"/>
    </xf>
    <xf numFmtId="0" fontId="0" fillId="5" borderId="12" xfId="0" applyFill="1" applyBorder="1" applyAlignment="1">
      <alignment horizontal="left" vertical="center"/>
    </xf>
    <xf numFmtId="0" fontId="0" fillId="0" borderId="12" xfId="0" applyBorder="1" applyAlignment="1">
      <alignment horizontal="left" vertical="center"/>
    </xf>
    <xf numFmtId="0" fontId="0" fillId="0" borderId="14" xfId="0" applyBorder="1" applyAlignment="1">
      <alignment horizontal="left" vertical="center" wrapText="1"/>
    </xf>
    <xf numFmtId="0" fontId="0" fillId="0" borderId="9" xfId="0" applyBorder="1" applyAlignment="1">
      <alignment horizontal="left" vertical="center"/>
    </xf>
    <xf numFmtId="0" fontId="0" fillId="0" borderId="10" xfId="0" applyBorder="1" applyAlignment="1">
      <alignment horizontal="left" vertical="center" wrapText="1"/>
    </xf>
    <xf numFmtId="0" fontId="0" fillId="5" borderId="10" xfId="0" applyFill="1" applyBorder="1" applyAlignment="1">
      <alignment horizontal="left" vertical="center"/>
    </xf>
    <xf numFmtId="0" fontId="0" fillId="0" borderId="10" xfId="0" applyBorder="1" applyAlignment="1">
      <alignment horizontal="left" vertical="center"/>
    </xf>
    <xf numFmtId="0" fontId="0" fillId="0" borderId="11" xfId="0" applyBorder="1" applyAlignment="1">
      <alignment horizontal="left" vertical="center" wrapText="1"/>
    </xf>
    <xf numFmtId="0" fontId="0" fillId="3" borderId="5" xfId="0" applyFill="1" applyBorder="1" applyAlignment="1">
      <alignment horizontal="left" vertical="center"/>
    </xf>
    <xf numFmtId="0" fontId="0" fillId="0" borderId="15" xfId="0" applyBorder="1" applyAlignment="1">
      <alignment horizontal="left" vertical="center"/>
    </xf>
    <xf numFmtId="0" fontId="0" fillId="0" borderId="16" xfId="0" applyBorder="1" applyAlignment="1">
      <alignment horizontal="left" vertical="center" wrapText="1"/>
    </xf>
    <xf numFmtId="0" fontId="0" fillId="5" borderId="16" xfId="0" applyFill="1" applyBorder="1" applyAlignment="1">
      <alignment horizontal="left" vertical="center"/>
    </xf>
    <xf numFmtId="0" fontId="0" fillId="0" borderId="16" xfId="0" applyBorder="1" applyAlignment="1">
      <alignment horizontal="left" vertical="center"/>
    </xf>
    <xf numFmtId="0" fontId="0" fillId="0" borderId="17" xfId="0" applyBorder="1" applyAlignment="1">
      <alignment horizontal="left" vertical="center" wrapText="1"/>
    </xf>
    <xf numFmtId="0" fontId="3" fillId="0" borderId="0" xfId="0" applyFont="1" applyAlignment="1">
      <alignment horizontal="left" vertical="center"/>
    </xf>
    <xf numFmtId="0" fontId="0" fillId="0" borderId="8" xfId="0" applyBorder="1" applyAlignment="1">
      <alignment horizontal="left" vertical="center"/>
    </xf>
    <xf numFmtId="0" fontId="7" fillId="0" borderId="3" xfId="0" applyFont="1" applyBorder="1" applyAlignment="1">
      <alignment vertical="center" wrapText="1"/>
    </xf>
    <xf numFmtId="0" fontId="8" fillId="0" borderId="3" xfId="0" applyFont="1" applyBorder="1" applyAlignment="1">
      <alignment vertical="center" wrapText="1"/>
    </xf>
    <xf numFmtId="0" fontId="7" fillId="0" borderId="3" xfId="0" applyFont="1" applyBorder="1" applyAlignment="1">
      <alignment horizontal="center" vertical="center" wrapText="1"/>
    </xf>
    <xf numFmtId="0" fontId="9" fillId="0" borderId="3" xfId="0" applyFont="1" applyBorder="1" applyAlignment="1">
      <alignment vertical="center" wrapText="1"/>
    </xf>
    <xf numFmtId="0" fontId="12" fillId="0" borderId="3" xfId="0" applyFont="1" applyBorder="1" applyAlignment="1">
      <alignment horizontal="center" vertical="center"/>
    </xf>
    <xf numFmtId="9" fontId="6" fillId="0" borderId="3" xfId="1" applyFont="1" applyBorder="1" applyAlignment="1">
      <alignment horizontal="center" vertical="center"/>
    </xf>
    <xf numFmtId="2" fontId="12" fillId="0" borderId="3" xfId="0" applyNumberFormat="1" applyFont="1" applyBorder="1" applyAlignment="1">
      <alignment horizontal="center" vertical="center"/>
    </xf>
    <xf numFmtId="2" fontId="13" fillId="0" borderId="3" xfId="0" applyNumberFormat="1" applyFont="1" applyBorder="1" applyAlignment="1">
      <alignment horizontal="center" vertical="center"/>
    </xf>
    <xf numFmtId="1" fontId="13" fillId="0" borderId="3" xfId="0" applyNumberFormat="1" applyFont="1" applyBorder="1" applyAlignment="1">
      <alignment horizontal="center" vertical="center"/>
    </xf>
    <xf numFmtId="9" fontId="13" fillId="0" borderId="3" xfId="1" applyFont="1" applyBorder="1" applyAlignment="1">
      <alignment horizontal="center" vertical="center"/>
    </xf>
    <xf numFmtId="2" fontId="14" fillId="0" borderId="3" xfId="0" applyNumberFormat="1" applyFont="1" applyBorder="1" applyAlignment="1">
      <alignment horizontal="center" vertical="center"/>
    </xf>
    <xf numFmtId="9" fontId="14" fillId="0" borderId="3" xfId="1" applyFont="1" applyBorder="1" applyAlignment="1">
      <alignment horizontal="center" vertical="center"/>
    </xf>
    <xf numFmtId="2" fontId="6" fillId="0" borderId="3" xfId="0" applyNumberFormat="1" applyFont="1" applyBorder="1" applyAlignment="1">
      <alignment horizontal="center" vertical="center"/>
    </xf>
    <xf numFmtId="0" fontId="10" fillId="0" borderId="3" xfId="0" applyFont="1" applyBorder="1" applyAlignment="1">
      <alignment vertical="center" wrapText="1"/>
    </xf>
    <xf numFmtId="9" fontId="9" fillId="0" borderId="3" xfId="0" applyNumberFormat="1" applyFont="1" applyBorder="1" applyAlignment="1">
      <alignment horizontal="center" vertical="center" wrapText="1"/>
    </xf>
    <xf numFmtId="0" fontId="7" fillId="0" borderId="3" xfId="0" applyFont="1" applyBorder="1" applyAlignment="1">
      <alignment horizontal="justify" vertical="center" wrapText="1"/>
    </xf>
    <xf numFmtId="0" fontId="11" fillId="0" borderId="3" xfId="0" applyFont="1" applyBorder="1" applyAlignment="1">
      <alignment vertical="center" wrapText="1"/>
    </xf>
    <xf numFmtId="14" fontId="0" fillId="0" borderId="0" xfId="0" applyNumberFormat="1"/>
    <xf numFmtId="0" fontId="15" fillId="0" borderId="3" xfId="0" applyFont="1" applyBorder="1" applyAlignment="1">
      <alignment vertical="center" wrapText="1"/>
    </xf>
    <xf numFmtId="0" fontId="15" fillId="0" borderId="3" xfId="0" applyFont="1" applyBorder="1" applyAlignment="1">
      <alignment horizontal="center" vertical="center" wrapText="1"/>
    </xf>
    <xf numFmtId="0" fontId="16" fillId="0" borderId="0" xfId="0" applyFont="1"/>
    <xf numFmtId="0" fontId="12" fillId="0" borderId="0" xfId="0" applyFont="1"/>
    <xf numFmtId="0" fontId="18" fillId="0" borderId="18" xfId="0" applyFont="1" applyBorder="1" applyAlignment="1">
      <alignment horizontal="center" vertical="center"/>
    </xf>
    <xf numFmtId="0" fontId="19" fillId="0" borderId="18" xfId="0" applyFont="1" applyBorder="1" applyAlignment="1">
      <alignment horizontal="left" vertical="center"/>
    </xf>
    <xf numFmtId="0" fontId="8" fillId="0" borderId="19" xfId="0" applyFont="1" applyBorder="1" applyAlignment="1">
      <alignment vertical="center" wrapText="1"/>
    </xf>
    <xf numFmtId="0" fontId="9" fillId="0" borderId="19" xfId="0" applyFont="1" applyBorder="1" applyAlignment="1">
      <alignment vertical="center" wrapText="1"/>
    </xf>
    <xf numFmtId="0" fontId="10" fillId="0" borderId="19" xfId="0" applyFont="1" applyBorder="1" applyAlignment="1">
      <alignment vertical="center" wrapText="1"/>
    </xf>
    <xf numFmtId="0" fontId="11" fillId="0" borderId="19" xfId="0" applyFont="1" applyBorder="1" applyAlignment="1">
      <alignment vertical="center" wrapText="1"/>
    </xf>
    <xf numFmtId="0" fontId="15" fillId="0" borderId="19" xfId="0" applyFont="1" applyBorder="1" applyAlignment="1">
      <alignment vertical="center" wrapText="1"/>
    </xf>
    <xf numFmtId="0" fontId="15" fillId="4" borderId="3" xfId="0" applyFont="1" applyFill="1" applyBorder="1" applyAlignment="1">
      <alignment vertical="center" wrapText="1"/>
    </xf>
    <xf numFmtId="0" fontId="7" fillId="4" borderId="3" xfId="0" applyFont="1" applyFill="1" applyBorder="1" applyAlignment="1">
      <alignment vertical="center" wrapText="1"/>
    </xf>
    <xf numFmtId="0" fontId="0" fillId="0" borderId="20" xfId="0" applyBorder="1" applyAlignment="1">
      <alignment horizontal="left" vertical="center"/>
    </xf>
    <xf numFmtId="0" fontId="0" fillId="0" borderId="21" xfId="0" applyBorder="1" applyAlignment="1">
      <alignment horizontal="left" vertical="center"/>
    </xf>
    <xf numFmtId="0" fontId="0" fillId="0" borderId="21" xfId="0" applyBorder="1" applyAlignment="1">
      <alignment horizontal="left" vertical="center" wrapText="1"/>
    </xf>
    <xf numFmtId="0" fontId="0" fillId="0" borderId="23" xfId="0" applyBorder="1" applyAlignment="1">
      <alignment horizontal="left" vertical="center"/>
    </xf>
    <xf numFmtId="0" fontId="0" fillId="0" borderId="24" xfId="0" applyBorder="1" applyAlignment="1">
      <alignment horizontal="left" vertical="center"/>
    </xf>
    <xf numFmtId="0" fontId="0" fillId="0" borderId="25" xfId="0" applyBorder="1" applyAlignment="1">
      <alignment horizontal="left" vertical="center"/>
    </xf>
    <xf numFmtId="0" fontId="0" fillId="0" borderId="26" xfId="0" applyBorder="1" applyAlignment="1">
      <alignment horizontal="left" vertical="center"/>
    </xf>
    <xf numFmtId="0" fontId="0" fillId="5" borderId="26" xfId="0" applyFill="1" applyBorder="1" applyAlignment="1">
      <alignment horizontal="left" vertical="center"/>
    </xf>
    <xf numFmtId="0" fontId="0" fillId="0" borderId="26" xfId="0" applyBorder="1" applyAlignment="1">
      <alignment horizontal="left" vertical="center" wrapText="1"/>
    </xf>
    <xf numFmtId="0" fontId="0" fillId="0" borderId="27" xfId="0" applyBorder="1" applyAlignment="1">
      <alignment horizontal="left" vertical="center" wrapText="1"/>
    </xf>
    <xf numFmtId="0" fontId="0" fillId="3" borderId="21" xfId="0" applyFill="1" applyBorder="1" applyAlignment="1">
      <alignment horizontal="left" vertical="center"/>
    </xf>
    <xf numFmtId="0" fontId="0" fillId="0" borderId="22" xfId="0" applyBorder="1" applyAlignment="1">
      <alignment horizontal="left" vertical="center" wrapText="1"/>
    </xf>
    <xf numFmtId="0" fontId="0" fillId="0" borderId="24" xfId="0" applyBorder="1" applyAlignment="1">
      <alignment horizontal="left" vertical="center" wrapText="1"/>
    </xf>
    <xf numFmtId="0" fontId="5" fillId="0" borderId="4" xfId="0" applyFont="1" applyBorder="1" applyAlignment="1">
      <alignment horizontal="left" vertical="center"/>
    </xf>
    <xf numFmtId="0" fontId="5" fillId="0" borderId="5" xfId="0" applyFont="1" applyBorder="1" applyAlignment="1">
      <alignment horizontal="left" vertical="center" wrapText="1"/>
    </xf>
    <xf numFmtId="0" fontId="5" fillId="5" borderId="5" xfId="0" applyFont="1" applyFill="1" applyBorder="1" applyAlignment="1">
      <alignment horizontal="left" vertical="center"/>
    </xf>
    <xf numFmtId="0" fontId="5" fillId="0" borderId="5" xfId="0" applyFont="1" applyBorder="1" applyAlignment="1">
      <alignment horizontal="left" vertical="center"/>
    </xf>
    <xf numFmtId="0" fontId="5" fillId="0" borderId="6" xfId="0" applyFont="1" applyBorder="1" applyAlignment="1">
      <alignment horizontal="left" vertical="center" wrapText="1"/>
    </xf>
    <xf numFmtId="0" fontId="20" fillId="6" borderId="0" xfId="0" applyFont="1" applyFill="1" applyAlignment="1">
      <alignment horizontal="left" vertical="center"/>
    </xf>
    <xf numFmtId="0" fontId="0" fillId="0" borderId="0" xfId="0"/>
    <xf numFmtId="0" fontId="17" fillId="0" borderId="0" xfId="0" applyFont="1" applyAlignment="1">
      <alignment horizontal="left" vertical="center"/>
    </xf>
    <xf numFmtId="0" fontId="12" fillId="0" borderId="0" xfId="0" applyFont="1"/>
    <xf numFmtId="0" fontId="0" fillId="0" borderId="26" xfId="0" applyBorder="1" applyAlignment="1">
      <alignment horizontal="left" vertical="center" wrapText="1"/>
    </xf>
    <xf numFmtId="0" fontId="0" fillId="0" borderId="0" xfId="0" applyAlignment="1">
      <alignment horizontal="left" vertical="center" wrapText="1"/>
    </xf>
    <xf numFmtId="0" fontId="21" fillId="7" borderId="0" xfId="0" applyFont="1" applyFill="1" applyAlignment="1">
      <alignment horizontal="center" vertical="center"/>
    </xf>
    <xf numFmtId="164" fontId="0" fillId="0" borderId="0" xfId="0" applyNumberFormat="1"/>
  </cellXfs>
  <cellStyles count="3">
    <cellStyle name="Hyperlink 2" xfId="2" xr:uid="{00000000-0005-0000-0000-000002000000}"/>
    <cellStyle name="Normal" xfId="0" builtinId="0"/>
    <cellStyle name="Porcentaje"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60"/>
  <sheetViews>
    <sheetView showGridLines="0" workbookViewId="0">
      <pane ySplit="3" topLeftCell="A4" activePane="bottomLeft" state="frozen"/>
      <selection pane="bottomLeft" activeCell="C6" sqref="C6"/>
    </sheetView>
  </sheetViews>
  <sheetFormatPr baseColWidth="10" defaultColWidth="8.85546875" defaultRowHeight="15" x14ac:dyDescent="0.25"/>
  <cols>
    <col min="1" max="1" width="14" style="61" customWidth="1"/>
    <col min="2" max="2" width="38" style="61" customWidth="1"/>
    <col min="3" max="3" width="42" style="61" customWidth="1"/>
    <col min="4" max="4" width="80" style="61" customWidth="1"/>
    <col min="5" max="7" width="8.85546875" style="61" customWidth="1"/>
    <col min="8" max="16384" width="8.85546875" style="61"/>
  </cols>
  <sheetData>
    <row r="1" spans="1:4" ht="28.15" customHeight="1" x14ac:dyDescent="0.25">
      <c r="A1" s="91" t="s">
        <v>74</v>
      </c>
      <c r="B1" s="92"/>
      <c r="C1" s="92"/>
      <c r="D1" s="92"/>
    </row>
    <row r="2" spans="1:4" ht="6" customHeight="1" x14ac:dyDescent="0.25"/>
    <row r="3" spans="1:4" ht="22.15" customHeight="1" x14ac:dyDescent="0.25">
      <c r="A3" s="62" t="s">
        <v>2</v>
      </c>
      <c r="B3" s="62" t="s">
        <v>75</v>
      </c>
      <c r="C3" s="62" t="s">
        <v>76</v>
      </c>
      <c r="D3" s="62" t="s">
        <v>77</v>
      </c>
    </row>
    <row r="4" spans="1:4" ht="18" customHeight="1" x14ac:dyDescent="0.25">
      <c r="A4" s="62" t="s">
        <v>6</v>
      </c>
      <c r="B4" s="63" t="s">
        <v>78</v>
      </c>
      <c r="C4" s="63" t="s">
        <v>79</v>
      </c>
      <c r="D4" s="63" t="s">
        <v>80</v>
      </c>
    </row>
    <row r="5" spans="1:4" ht="18" customHeight="1" x14ac:dyDescent="0.25">
      <c r="A5" s="62" t="s">
        <v>6</v>
      </c>
      <c r="B5" s="63" t="s">
        <v>78</v>
      </c>
      <c r="C5" s="63" t="s">
        <v>81</v>
      </c>
      <c r="D5" s="63" t="s">
        <v>82</v>
      </c>
    </row>
    <row r="6" spans="1:4" ht="18" customHeight="1" x14ac:dyDescent="0.25">
      <c r="A6" s="62" t="s">
        <v>18</v>
      </c>
      <c r="B6" s="63" t="s">
        <v>78</v>
      </c>
      <c r="C6" s="63" t="s">
        <v>83</v>
      </c>
      <c r="D6" s="63" t="s">
        <v>84</v>
      </c>
    </row>
    <row r="7" spans="1:4" ht="18" customHeight="1" x14ac:dyDescent="0.25">
      <c r="A7" s="62" t="s">
        <v>85</v>
      </c>
      <c r="B7" s="63" t="s">
        <v>78</v>
      </c>
      <c r="C7" s="63" t="s">
        <v>86</v>
      </c>
      <c r="D7" s="63" t="s">
        <v>87</v>
      </c>
    </row>
    <row r="8" spans="1:4" ht="18" customHeight="1" x14ac:dyDescent="0.25">
      <c r="A8" s="62" t="s">
        <v>29</v>
      </c>
      <c r="B8" s="63" t="s">
        <v>78</v>
      </c>
      <c r="C8" s="63" t="s">
        <v>88</v>
      </c>
      <c r="D8" s="63" t="s">
        <v>89</v>
      </c>
    </row>
    <row r="9" spans="1:4" ht="18" customHeight="1" x14ac:dyDescent="0.25">
      <c r="A9" s="62" t="s">
        <v>33</v>
      </c>
      <c r="B9" s="63" t="s">
        <v>78</v>
      </c>
      <c r="C9" s="63" t="s">
        <v>90</v>
      </c>
      <c r="D9" s="63" t="s">
        <v>80</v>
      </c>
    </row>
    <row r="10" spans="1:4" ht="18" customHeight="1" x14ac:dyDescent="0.25">
      <c r="A10" s="62" t="s">
        <v>24</v>
      </c>
      <c r="B10" s="63" t="s">
        <v>78</v>
      </c>
      <c r="C10" s="63" t="s">
        <v>91</v>
      </c>
      <c r="D10" s="63" t="s">
        <v>92</v>
      </c>
    </row>
    <row r="11" spans="1:4" ht="18" customHeight="1" x14ac:dyDescent="0.25">
      <c r="A11" s="62" t="s">
        <v>63</v>
      </c>
      <c r="B11" s="63" t="s">
        <v>78</v>
      </c>
      <c r="C11" s="63" t="s">
        <v>93</v>
      </c>
      <c r="D11" s="63" t="s">
        <v>94</v>
      </c>
    </row>
    <row r="12" spans="1:4" ht="18" customHeight="1" x14ac:dyDescent="0.25">
      <c r="A12" s="62" t="s">
        <v>6</v>
      </c>
      <c r="B12" s="63" t="s">
        <v>95</v>
      </c>
      <c r="C12" s="63" t="s">
        <v>96</v>
      </c>
      <c r="D12" s="63" t="s">
        <v>97</v>
      </c>
    </row>
    <row r="13" spans="1:4" ht="18" customHeight="1" x14ac:dyDescent="0.25">
      <c r="A13" s="62" t="s">
        <v>85</v>
      </c>
      <c r="B13" s="63" t="s">
        <v>95</v>
      </c>
      <c r="C13" s="63" t="s">
        <v>98</v>
      </c>
      <c r="D13" s="63" t="s">
        <v>99</v>
      </c>
    </row>
    <row r="14" spans="1:4" ht="18" customHeight="1" x14ac:dyDescent="0.25">
      <c r="A14" s="62" t="s">
        <v>29</v>
      </c>
      <c r="B14" s="63" t="s">
        <v>95</v>
      </c>
      <c r="C14" s="63" t="s">
        <v>100</v>
      </c>
      <c r="D14" s="63" t="s">
        <v>101</v>
      </c>
    </row>
    <row r="15" spans="1:4" ht="18" customHeight="1" x14ac:dyDescent="0.25">
      <c r="A15" s="62" t="s">
        <v>33</v>
      </c>
      <c r="B15" s="63" t="s">
        <v>95</v>
      </c>
      <c r="C15" s="63" t="s">
        <v>102</v>
      </c>
      <c r="D15" s="63" t="s">
        <v>103</v>
      </c>
    </row>
    <row r="16" spans="1:4" ht="18" customHeight="1" x14ac:dyDescent="0.25">
      <c r="A16" s="62" t="s">
        <v>24</v>
      </c>
      <c r="B16" s="63" t="s">
        <v>95</v>
      </c>
      <c r="C16" s="63" t="s">
        <v>104</v>
      </c>
      <c r="D16" s="63" t="s">
        <v>105</v>
      </c>
    </row>
    <row r="17" spans="1:4" ht="18" customHeight="1" x14ac:dyDescent="0.25">
      <c r="A17" s="62" t="s">
        <v>63</v>
      </c>
      <c r="B17" s="63" t="s">
        <v>95</v>
      </c>
      <c r="C17" s="63" t="s">
        <v>106</v>
      </c>
      <c r="D17" s="63" t="s">
        <v>107</v>
      </c>
    </row>
    <row r="18" spans="1:4" ht="18" customHeight="1" x14ac:dyDescent="0.25">
      <c r="A18" s="62" t="s">
        <v>21</v>
      </c>
      <c r="B18" s="63" t="s">
        <v>95</v>
      </c>
      <c r="C18" s="63" t="s">
        <v>108</v>
      </c>
      <c r="D18" s="63"/>
    </row>
    <row r="19" spans="1:4" ht="18" customHeight="1" x14ac:dyDescent="0.25">
      <c r="A19" s="62" t="s">
        <v>6</v>
      </c>
      <c r="B19" s="63" t="s">
        <v>109</v>
      </c>
      <c r="C19" s="63" t="s">
        <v>110</v>
      </c>
      <c r="D19" s="63" t="s">
        <v>111</v>
      </c>
    </row>
    <row r="20" spans="1:4" ht="18" customHeight="1" x14ac:dyDescent="0.25">
      <c r="A20" s="62" t="s">
        <v>18</v>
      </c>
      <c r="B20" s="63" t="s">
        <v>109</v>
      </c>
      <c r="C20" s="63" t="s">
        <v>112</v>
      </c>
      <c r="D20" s="63" t="s">
        <v>113</v>
      </c>
    </row>
    <row r="21" spans="1:4" ht="18" customHeight="1" x14ac:dyDescent="0.25">
      <c r="A21" s="62" t="s">
        <v>85</v>
      </c>
      <c r="B21" s="63" t="s">
        <v>109</v>
      </c>
      <c r="C21" s="63" t="s">
        <v>114</v>
      </c>
      <c r="D21" s="63" t="s">
        <v>115</v>
      </c>
    </row>
    <row r="22" spans="1:4" ht="18" customHeight="1" x14ac:dyDescent="0.25">
      <c r="A22" s="62" t="s">
        <v>29</v>
      </c>
      <c r="B22" s="63" t="s">
        <v>109</v>
      </c>
      <c r="C22" s="63" t="s">
        <v>116</v>
      </c>
      <c r="D22" s="63" t="s">
        <v>117</v>
      </c>
    </row>
    <row r="23" spans="1:4" ht="18" customHeight="1" x14ac:dyDescent="0.25">
      <c r="A23" s="62" t="s">
        <v>33</v>
      </c>
      <c r="B23" s="63" t="s">
        <v>109</v>
      </c>
      <c r="C23" s="63" t="s">
        <v>118</v>
      </c>
      <c r="D23" s="63" t="s">
        <v>119</v>
      </c>
    </row>
    <row r="24" spans="1:4" ht="18" customHeight="1" x14ac:dyDescent="0.25">
      <c r="A24" s="62" t="s">
        <v>24</v>
      </c>
      <c r="B24" s="63" t="s">
        <v>109</v>
      </c>
      <c r="C24" s="63" t="s">
        <v>120</v>
      </c>
      <c r="D24" s="63" t="s">
        <v>121</v>
      </c>
    </row>
    <row r="25" spans="1:4" ht="18" customHeight="1" x14ac:dyDescent="0.25">
      <c r="A25" s="62" t="s">
        <v>63</v>
      </c>
      <c r="B25" s="63" t="s">
        <v>109</v>
      </c>
      <c r="C25" s="63" t="s">
        <v>122</v>
      </c>
      <c r="D25" s="63" t="s">
        <v>123</v>
      </c>
    </row>
    <row r="26" spans="1:4" ht="18" customHeight="1" x14ac:dyDescent="0.25">
      <c r="A26" s="62" t="s">
        <v>14</v>
      </c>
      <c r="B26" s="63" t="s">
        <v>109</v>
      </c>
      <c r="C26" s="63" t="s">
        <v>124</v>
      </c>
      <c r="D26" s="63" t="s">
        <v>125</v>
      </c>
    </row>
    <row r="27" spans="1:4" ht="18" customHeight="1" x14ac:dyDescent="0.25">
      <c r="A27" s="62" t="s">
        <v>6</v>
      </c>
      <c r="B27" s="63" t="s">
        <v>126</v>
      </c>
      <c r="C27" s="63" t="s">
        <v>127</v>
      </c>
      <c r="D27" s="63" t="s">
        <v>128</v>
      </c>
    </row>
    <row r="28" spans="1:4" ht="18" customHeight="1" x14ac:dyDescent="0.25">
      <c r="A28" s="62" t="s">
        <v>85</v>
      </c>
      <c r="B28" s="63" t="s">
        <v>126</v>
      </c>
      <c r="C28" s="63" t="s">
        <v>129</v>
      </c>
      <c r="D28" s="63" t="s">
        <v>130</v>
      </c>
    </row>
    <row r="29" spans="1:4" ht="18" customHeight="1" x14ac:dyDescent="0.25">
      <c r="A29" s="62" t="s">
        <v>29</v>
      </c>
      <c r="B29" s="63" t="s">
        <v>126</v>
      </c>
      <c r="C29" s="63" t="s">
        <v>116</v>
      </c>
      <c r="D29" s="63" t="s">
        <v>117</v>
      </c>
    </row>
    <row r="30" spans="1:4" ht="18" customHeight="1" x14ac:dyDescent="0.25">
      <c r="A30" s="62" t="s">
        <v>33</v>
      </c>
      <c r="B30" s="63" t="s">
        <v>126</v>
      </c>
      <c r="C30" s="63" t="s">
        <v>131</v>
      </c>
      <c r="D30" s="63" t="s">
        <v>132</v>
      </c>
    </row>
    <row r="31" spans="1:4" ht="18" customHeight="1" x14ac:dyDescent="0.25">
      <c r="A31" s="62" t="s">
        <v>24</v>
      </c>
      <c r="B31" s="63" t="s">
        <v>126</v>
      </c>
      <c r="C31" s="63" t="s">
        <v>133</v>
      </c>
      <c r="D31" s="63" t="s">
        <v>134</v>
      </c>
    </row>
    <row r="32" spans="1:4" ht="18" customHeight="1" x14ac:dyDescent="0.25">
      <c r="A32" s="62" t="s">
        <v>21</v>
      </c>
      <c r="B32" s="63" t="s">
        <v>126</v>
      </c>
      <c r="C32" s="63" t="s">
        <v>135</v>
      </c>
      <c r="D32" s="63" t="s">
        <v>136</v>
      </c>
    </row>
    <row r="33" spans="1:4" ht="18" customHeight="1" x14ac:dyDescent="0.25">
      <c r="A33" s="62" t="s">
        <v>14</v>
      </c>
      <c r="B33" s="63" t="s">
        <v>126</v>
      </c>
      <c r="C33" s="63" t="s">
        <v>137</v>
      </c>
      <c r="D33" s="63" t="s">
        <v>138</v>
      </c>
    </row>
    <row r="34" spans="1:4" ht="18" customHeight="1" x14ac:dyDescent="0.25">
      <c r="A34" s="62" t="s">
        <v>6</v>
      </c>
      <c r="B34" s="63" t="s">
        <v>139</v>
      </c>
      <c r="C34" s="63" t="s">
        <v>140</v>
      </c>
      <c r="D34" s="63" t="s">
        <v>141</v>
      </c>
    </row>
    <row r="35" spans="1:4" ht="18" customHeight="1" x14ac:dyDescent="0.25">
      <c r="A35" s="62" t="s">
        <v>6</v>
      </c>
      <c r="B35" s="63" t="s">
        <v>139</v>
      </c>
      <c r="C35" s="63" t="s">
        <v>142</v>
      </c>
      <c r="D35" s="63" t="s">
        <v>143</v>
      </c>
    </row>
    <row r="36" spans="1:4" ht="18" customHeight="1" x14ac:dyDescent="0.25">
      <c r="A36" s="62" t="s">
        <v>18</v>
      </c>
      <c r="B36" s="63" t="s">
        <v>139</v>
      </c>
      <c r="C36" s="63" t="s">
        <v>144</v>
      </c>
      <c r="D36" s="63" t="s">
        <v>145</v>
      </c>
    </row>
    <row r="37" spans="1:4" ht="18" customHeight="1" x14ac:dyDescent="0.25">
      <c r="A37" s="62" t="s">
        <v>85</v>
      </c>
      <c r="B37" s="63" t="s">
        <v>139</v>
      </c>
      <c r="C37" s="63" t="s">
        <v>146</v>
      </c>
      <c r="D37" s="63" t="s">
        <v>147</v>
      </c>
    </row>
    <row r="38" spans="1:4" ht="18" customHeight="1" x14ac:dyDescent="0.25">
      <c r="A38" s="62" t="s">
        <v>29</v>
      </c>
      <c r="B38" s="63" t="s">
        <v>139</v>
      </c>
      <c r="C38" s="63" t="s">
        <v>148</v>
      </c>
      <c r="D38" s="63" t="s">
        <v>149</v>
      </c>
    </row>
    <row r="39" spans="1:4" ht="18" customHeight="1" x14ac:dyDescent="0.25">
      <c r="A39" s="62" t="s">
        <v>33</v>
      </c>
      <c r="B39" s="63" t="s">
        <v>139</v>
      </c>
      <c r="C39" s="63" t="s">
        <v>150</v>
      </c>
      <c r="D39" s="63" t="s">
        <v>151</v>
      </c>
    </row>
    <row r="40" spans="1:4" ht="18" customHeight="1" x14ac:dyDescent="0.25">
      <c r="A40" s="62" t="s">
        <v>24</v>
      </c>
      <c r="B40" s="63" t="s">
        <v>139</v>
      </c>
      <c r="C40" s="63" t="s">
        <v>152</v>
      </c>
      <c r="D40" s="63" t="s">
        <v>153</v>
      </c>
    </row>
    <row r="41" spans="1:4" ht="18" customHeight="1" x14ac:dyDescent="0.25">
      <c r="A41" s="62" t="s">
        <v>63</v>
      </c>
      <c r="B41" s="63" t="s">
        <v>139</v>
      </c>
      <c r="C41" s="63" t="s">
        <v>154</v>
      </c>
      <c r="D41" s="63" t="s">
        <v>155</v>
      </c>
    </row>
    <row r="42" spans="1:4" ht="18" customHeight="1" x14ac:dyDescent="0.25">
      <c r="A42" s="62" t="s">
        <v>14</v>
      </c>
      <c r="B42" s="63" t="s">
        <v>139</v>
      </c>
      <c r="C42" s="63" t="s">
        <v>156</v>
      </c>
      <c r="D42" s="63" t="s">
        <v>157</v>
      </c>
    </row>
    <row r="43" spans="1:4" ht="18" customHeight="1" x14ac:dyDescent="0.25">
      <c r="A43" s="62" t="s">
        <v>6</v>
      </c>
      <c r="B43" s="63" t="s">
        <v>158</v>
      </c>
      <c r="C43" s="63" t="s">
        <v>159</v>
      </c>
      <c r="D43" s="63" t="s">
        <v>160</v>
      </c>
    </row>
    <row r="44" spans="1:4" ht="18" customHeight="1" x14ac:dyDescent="0.25">
      <c r="A44" s="62" t="s">
        <v>85</v>
      </c>
      <c r="B44" s="63" t="s">
        <v>158</v>
      </c>
      <c r="C44" s="63" t="s">
        <v>161</v>
      </c>
      <c r="D44" s="63" t="s">
        <v>162</v>
      </c>
    </row>
    <row r="45" spans="1:4" ht="18" customHeight="1" x14ac:dyDescent="0.25">
      <c r="A45" s="62" t="s">
        <v>29</v>
      </c>
      <c r="B45" s="63" t="s">
        <v>158</v>
      </c>
      <c r="C45" s="63" t="s">
        <v>163</v>
      </c>
      <c r="D45" s="63" t="s">
        <v>164</v>
      </c>
    </row>
    <row r="46" spans="1:4" ht="18" customHeight="1" x14ac:dyDescent="0.25">
      <c r="A46" s="62" t="s">
        <v>33</v>
      </c>
      <c r="B46" s="63" t="s">
        <v>158</v>
      </c>
      <c r="C46" s="63" t="s">
        <v>165</v>
      </c>
      <c r="D46" s="63" t="s">
        <v>166</v>
      </c>
    </row>
    <row r="47" spans="1:4" ht="18" customHeight="1" x14ac:dyDescent="0.25">
      <c r="A47" s="62" t="s">
        <v>14</v>
      </c>
      <c r="B47" s="63" t="s">
        <v>167</v>
      </c>
      <c r="C47" s="63" t="s">
        <v>168</v>
      </c>
      <c r="D47" s="63" t="s">
        <v>169</v>
      </c>
    </row>
    <row r="48" spans="1:4" ht="18" customHeight="1" x14ac:dyDescent="0.25">
      <c r="A48" s="62" t="s">
        <v>6</v>
      </c>
      <c r="B48" s="63" t="s">
        <v>170</v>
      </c>
      <c r="C48" s="63" t="s">
        <v>171</v>
      </c>
      <c r="D48" s="63" t="s">
        <v>172</v>
      </c>
    </row>
    <row r="49" spans="1:4" ht="18" customHeight="1" x14ac:dyDescent="0.25">
      <c r="A49" s="62" t="s">
        <v>18</v>
      </c>
      <c r="B49" s="63" t="s">
        <v>170</v>
      </c>
      <c r="C49" s="63" t="s">
        <v>173</v>
      </c>
      <c r="D49" s="63" t="s">
        <v>174</v>
      </c>
    </row>
    <row r="50" spans="1:4" ht="18" customHeight="1" x14ac:dyDescent="0.25">
      <c r="A50" s="62" t="s">
        <v>85</v>
      </c>
      <c r="B50" s="63" t="s">
        <v>170</v>
      </c>
      <c r="C50" s="63" t="s">
        <v>175</v>
      </c>
      <c r="D50" s="63" t="s">
        <v>176</v>
      </c>
    </row>
    <row r="51" spans="1:4" ht="18" customHeight="1" x14ac:dyDescent="0.25">
      <c r="A51" s="62" t="s">
        <v>29</v>
      </c>
      <c r="B51" s="63" t="s">
        <v>170</v>
      </c>
      <c r="C51" s="63" t="s">
        <v>177</v>
      </c>
      <c r="D51" s="63" t="s">
        <v>178</v>
      </c>
    </row>
    <row r="52" spans="1:4" ht="18" customHeight="1" x14ac:dyDescent="0.25">
      <c r="A52" s="62" t="s">
        <v>33</v>
      </c>
      <c r="B52" s="63" t="s">
        <v>170</v>
      </c>
      <c r="C52" s="63" t="s">
        <v>179</v>
      </c>
      <c r="D52" s="63" t="s">
        <v>180</v>
      </c>
    </row>
    <row r="53" spans="1:4" ht="18" customHeight="1" x14ac:dyDescent="0.25">
      <c r="A53" s="62" t="s">
        <v>24</v>
      </c>
      <c r="B53" s="63" t="s">
        <v>170</v>
      </c>
      <c r="C53" s="63" t="s">
        <v>181</v>
      </c>
      <c r="D53" s="63" t="s">
        <v>182</v>
      </c>
    </row>
    <row r="54" spans="1:4" ht="18" customHeight="1" x14ac:dyDescent="0.25">
      <c r="A54" s="62" t="s">
        <v>63</v>
      </c>
      <c r="B54" s="63" t="s">
        <v>170</v>
      </c>
      <c r="C54" s="63" t="s">
        <v>183</v>
      </c>
      <c r="D54" s="63" t="s">
        <v>184</v>
      </c>
    </row>
    <row r="55" spans="1:4" ht="18" customHeight="1" x14ac:dyDescent="0.25">
      <c r="A55" s="62" t="s">
        <v>6</v>
      </c>
      <c r="B55" s="63" t="s">
        <v>185</v>
      </c>
      <c r="C55" s="63" t="s">
        <v>186</v>
      </c>
      <c r="D55" s="63" t="s">
        <v>187</v>
      </c>
    </row>
    <row r="56" spans="1:4" ht="18" customHeight="1" x14ac:dyDescent="0.25">
      <c r="A56" s="62" t="s">
        <v>18</v>
      </c>
      <c r="B56" s="63" t="s">
        <v>185</v>
      </c>
      <c r="C56" s="63" t="s">
        <v>188</v>
      </c>
      <c r="D56" s="63" t="s">
        <v>189</v>
      </c>
    </row>
    <row r="57" spans="1:4" ht="18" customHeight="1" x14ac:dyDescent="0.25">
      <c r="A57" s="62" t="s">
        <v>29</v>
      </c>
      <c r="B57" s="63" t="s">
        <v>185</v>
      </c>
      <c r="C57" s="63" t="s">
        <v>190</v>
      </c>
      <c r="D57" s="63" t="s">
        <v>191</v>
      </c>
    </row>
    <row r="58" spans="1:4" ht="18" customHeight="1" x14ac:dyDescent="0.25">
      <c r="A58" s="62" t="s">
        <v>33</v>
      </c>
      <c r="B58" s="63" t="s">
        <v>185</v>
      </c>
      <c r="C58" s="63" t="s">
        <v>192</v>
      </c>
      <c r="D58" s="63" t="s">
        <v>187</v>
      </c>
    </row>
    <row r="59" spans="1:4" ht="18" customHeight="1" x14ac:dyDescent="0.25">
      <c r="A59" s="62" t="s">
        <v>14</v>
      </c>
      <c r="B59" s="63" t="s">
        <v>78</v>
      </c>
      <c r="C59" s="63" t="s">
        <v>193</v>
      </c>
      <c r="D59" s="63" t="s">
        <v>194</v>
      </c>
    </row>
    <row r="60" spans="1:4" ht="18" customHeight="1" x14ac:dyDescent="0.25">
      <c r="A60" s="62" t="s">
        <v>63</v>
      </c>
      <c r="B60" s="63" t="s">
        <v>185</v>
      </c>
      <c r="C60" s="63" t="s">
        <v>186</v>
      </c>
      <c r="D60" s="63" t="s">
        <v>187</v>
      </c>
    </row>
  </sheetData>
  <autoFilter ref="A3:D60" xr:uid="{00000000-0009-0000-0000-000000000000}"/>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K21"/>
  <sheetViews>
    <sheetView zoomScale="110" zoomScaleNormal="110" workbookViewId="0">
      <pane xSplit="2" topLeftCell="C1" activePane="topRight" state="frozen"/>
      <selection pane="topRight" activeCell="K24" sqref="K24"/>
    </sheetView>
  </sheetViews>
  <sheetFormatPr baseColWidth="10" defaultColWidth="9.140625" defaultRowHeight="15" x14ac:dyDescent="0.25"/>
  <cols>
    <col min="2" max="2" width="23.5703125" customWidth="1"/>
    <col min="3" max="3" width="35.5703125" bestFit="1" customWidth="1"/>
    <col min="4" max="4" width="34.28515625" bestFit="1" customWidth="1"/>
    <col min="5" max="5" width="31.28515625" bestFit="1" customWidth="1"/>
    <col min="6" max="6" width="35.28515625" bestFit="1" customWidth="1"/>
    <col min="7" max="7" width="35.5703125" bestFit="1" customWidth="1"/>
    <col min="8" max="8" width="30.7109375" bestFit="1" customWidth="1"/>
    <col min="9" max="9" width="35.5703125" bestFit="1" customWidth="1"/>
    <col min="10" max="10" width="36.7109375" bestFit="1" customWidth="1"/>
    <col min="11" max="11" width="35.28515625" bestFit="1" customWidth="1"/>
  </cols>
  <sheetData>
    <row r="1" spans="2:11" x14ac:dyDescent="0.25">
      <c r="B1" s="1" t="s">
        <v>195</v>
      </c>
    </row>
    <row r="2" spans="2:11" x14ac:dyDescent="0.25">
      <c r="B2" s="6">
        <v>46162</v>
      </c>
    </row>
    <row r="5" spans="2:11" x14ac:dyDescent="0.25">
      <c r="B5" s="4" t="s">
        <v>196</v>
      </c>
      <c r="C5" s="4" t="s">
        <v>6</v>
      </c>
      <c r="D5" s="4" t="s">
        <v>18</v>
      </c>
      <c r="E5" s="4" t="s">
        <v>85</v>
      </c>
      <c r="F5" s="4" t="s">
        <v>29</v>
      </c>
      <c r="G5" s="4" t="s">
        <v>33</v>
      </c>
      <c r="H5" s="4" t="s">
        <v>24</v>
      </c>
      <c r="I5" s="4" t="s">
        <v>63</v>
      </c>
      <c r="J5" s="4" t="s">
        <v>21</v>
      </c>
      <c r="K5" s="4" t="s">
        <v>14</v>
      </c>
    </row>
    <row r="6" spans="2:11" x14ac:dyDescent="0.25">
      <c r="B6" s="3" t="s">
        <v>197</v>
      </c>
      <c r="C6" s="5" t="s">
        <v>198</v>
      </c>
      <c r="D6" s="5" t="s">
        <v>198</v>
      </c>
      <c r="E6" s="5" t="s">
        <v>199</v>
      </c>
      <c r="F6" s="5" t="s">
        <v>200</v>
      </c>
      <c r="G6" s="5" t="s">
        <v>198</v>
      </c>
      <c r="H6" s="5" t="s">
        <v>200</v>
      </c>
      <c r="I6" s="5" t="s">
        <v>198</v>
      </c>
      <c r="J6" s="5" t="s">
        <v>201</v>
      </c>
      <c r="K6" s="5" t="s">
        <v>202</v>
      </c>
    </row>
    <row r="7" spans="2:11" x14ac:dyDescent="0.25">
      <c r="B7" s="3" t="s">
        <v>203</v>
      </c>
      <c r="C7" s="5" t="s">
        <v>204</v>
      </c>
      <c r="D7" s="5" t="s">
        <v>204</v>
      </c>
      <c r="E7" s="5" t="s">
        <v>198</v>
      </c>
      <c r="F7" s="5" t="s">
        <v>205</v>
      </c>
      <c r="G7" s="5" t="s">
        <v>204</v>
      </c>
      <c r="H7" s="5" t="s">
        <v>206</v>
      </c>
      <c r="I7" s="5" t="s">
        <v>204</v>
      </c>
      <c r="J7" s="5" t="s">
        <v>207</v>
      </c>
      <c r="K7" s="5" t="s">
        <v>208</v>
      </c>
    </row>
    <row r="8" spans="2:11" x14ac:dyDescent="0.25">
      <c r="B8" s="3" t="s">
        <v>203</v>
      </c>
      <c r="C8" s="5"/>
      <c r="D8" s="5"/>
      <c r="E8" s="5"/>
      <c r="F8" s="5"/>
      <c r="G8" s="5"/>
      <c r="H8" s="5"/>
      <c r="I8" s="5"/>
      <c r="J8" s="5" t="s">
        <v>209</v>
      </c>
      <c r="K8" s="5"/>
    </row>
    <row r="9" spans="2:11" x14ac:dyDescent="0.25">
      <c r="B9" s="3" t="s">
        <v>210</v>
      </c>
      <c r="C9" s="5" t="s">
        <v>211</v>
      </c>
      <c r="D9" s="5" t="s">
        <v>212</v>
      </c>
      <c r="E9" s="5"/>
      <c r="F9" s="5" t="s">
        <v>213</v>
      </c>
      <c r="G9" s="5" t="s">
        <v>211</v>
      </c>
      <c r="H9" s="5" t="s">
        <v>213</v>
      </c>
      <c r="I9" s="5" t="s">
        <v>211</v>
      </c>
      <c r="J9" s="5" t="s">
        <v>213</v>
      </c>
      <c r="K9" s="5" t="s">
        <v>212</v>
      </c>
    </row>
    <row r="10" spans="2:11" x14ac:dyDescent="0.25">
      <c r="B10" s="3" t="s">
        <v>214</v>
      </c>
      <c r="C10" s="5"/>
      <c r="D10" s="5"/>
      <c r="E10" s="5"/>
      <c r="F10" s="5"/>
      <c r="G10" s="5"/>
      <c r="H10" s="5" t="s">
        <v>215</v>
      </c>
      <c r="I10" s="5" t="s">
        <v>213</v>
      </c>
      <c r="J10" s="5" t="s">
        <v>211</v>
      </c>
      <c r="K10" s="5" t="s">
        <v>213</v>
      </c>
    </row>
    <row r="11" spans="2:11" x14ac:dyDescent="0.25">
      <c r="B11" s="3" t="s">
        <v>216</v>
      </c>
      <c r="C11" s="5" t="s">
        <v>217</v>
      </c>
      <c r="D11" s="5" t="s">
        <v>217</v>
      </c>
      <c r="E11" s="5" t="s">
        <v>217</v>
      </c>
      <c r="F11" s="5" t="s">
        <v>217</v>
      </c>
      <c r="G11" s="5" t="s">
        <v>217</v>
      </c>
      <c r="H11" s="5" t="s">
        <v>217</v>
      </c>
      <c r="I11" s="5" t="s">
        <v>217</v>
      </c>
      <c r="J11" s="5" t="s">
        <v>217</v>
      </c>
      <c r="K11" s="5" t="s">
        <v>217</v>
      </c>
    </row>
    <row r="12" spans="2:11" x14ac:dyDescent="0.25">
      <c r="B12" s="3" t="s">
        <v>218</v>
      </c>
      <c r="C12" s="5" t="s">
        <v>219</v>
      </c>
      <c r="D12" s="5" t="s">
        <v>219</v>
      </c>
      <c r="E12" s="5" t="s">
        <v>219</v>
      </c>
      <c r="F12" s="5" t="s">
        <v>219</v>
      </c>
      <c r="G12" s="5" t="s">
        <v>219</v>
      </c>
      <c r="H12" s="5" t="s">
        <v>219</v>
      </c>
      <c r="I12" s="5" t="s">
        <v>219</v>
      </c>
      <c r="J12" s="5" t="s">
        <v>219</v>
      </c>
      <c r="K12" s="5" t="s">
        <v>219</v>
      </c>
    </row>
    <row r="13" spans="2:11" x14ac:dyDescent="0.25">
      <c r="B13" s="3" t="s">
        <v>220</v>
      </c>
      <c r="C13" s="5" t="s">
        <v>221</v>
      </c>
      <c r="D13" s="5" t="s">
        <v>221</v>
      </c>
      <c r="E13" s="5" t="s">
        <v>221</v>
      </c>
      <c r="F13" s="5" t="s">
        <v>221</v>
      </c>
      <c r="G13" s="5" t="s">
        <v>222</v>
      </c>
      <c r="H13" s="5" t="s">
        <v>222</v>
      </c>
      <c r="I13" s="5" t="s">
        <v>222</v>
      </c>
      <c r="J13" s="5" t="s">
        <v>222</v>
      </c>
      <c r="K13" s="5" t="s">
        <v>221</v>
      </c>
    </row>
    <row r="14" spans="2:11" x14ac:dyDescent="0.25">
      <c r="B14" s="3" t="s">
        <v>223</v>
      </c>
      <c r="C14" s="5" t="s">
        <v>224</v>
      </c>
      <c r="D14" s="5" t="s">
        <v>224</v>
      </c>
      <c r="E14" s="5" t="s">
        <v>224</v>
      </c>
      <c r="F14" s="5" t="s">
        <v>225</v>
      </c>
      <c r="G14" s="5" t="s">
        <v>224</v>
      </c>
      <c r="H14" s="5" t="s">
        <v>226</v>
      </c>
      <c r="I14" s="5" t="s">
        <v>224</v>
      </c>
      <c r="J14" s="5"/>
      <c r="K14" s="5" t="s">
        <v>227</v>
      </c>
    </row>
    <row r="15" spans="2:11" x14ac:dyDescent="0.25">
      <c r="B15" s="3" t="s">
        <v>223</v>
      </c>
      <c r="C15" s="5"/>
      <c r="D15" s="5"/>
      <c r="E15" s="5" t="s">
        <v>227</v>
      </c>
      <c r="F15" s="5" t="s">
        <v>227</v>
      </c>
      <c r="G15" s="5" t="s">
        <v>228</v>
      </c>
      <c r="H15" s="5"/>
      <c r="I15" s="5" t="s">
        <v>228</v>
      </c>
      <c r="J15" s="5"/>
      <c r="K15" s="5" t="s">
        <v>228</v>
      </c>
    </row>
    <row r="16" spans="2:11" x14ac:dyDescent="0.25">
      <c r="B16" s="3" t="s">
        <v>229</v>
      </c>
      <c r="C16" s="7" t="s">
        <v>230</v>
      </c>
      <c r="D16" s="5" t="s">
        <v>231</v>
      </c>
      <c r="E16" s="5" t="s">
        <v>232</v>
      </c>
      <c r="F16" s="5" t="s">
        <v>233</v>
      </c>
      <c r="G16" s="5" t="s">
        <v>231</v>
      </c>
      <c r="H16" s="5" t="s">
        <v>234</v>
      </c>
      <c r="I16" s="5" t="s">
        <v>231</v>
      </c>
      <c r="J16" s="5" t="s">
        <v>230</v>
      </c>
      <c r="K16" s="5" t="s">
        <v>234</v>
      </c>
    </row>
    <row r="17" spans="2:11" x14ac:dyDescent="0.25">
      <c r="B17" s="3" t="s">
        <v>235</v>
      </c>
      <c r="C17" s="5" t="s">
        <v>234</v>
      </c>
      <c r="D17" s="5" t="s">
        <v>234</v>
      </c>
      <c r="E17" s="5" t="s">
        <v>234</v>
      </c>
      <c r="F17" s="5" t="s">
        <v>234</v>
      </c>
      <c r="G17" s="5" t="s">
        <v>234</v>
      </c>
      <c r="H17" s="5" t="s">
        <v>231</v>
      </c>
      <c r="I17" s="5" t="s">
        <v>236</v>
      </c>
      <c r="J17" s="5" t="s">
        <v>234</v>
      </c>
      <c r="K17" s="5" t="s">
        <v>231</v>
      </c>
    </row>
    <row r="18" spans="2:11" x14ac:dyDescent="0.25">
      <c r="B18" s="3" t="s">
        <v>237</v>
      </c>
      <c r="C18" s="5" t="s">
        <v>238</v>
      </c>
      <c r="D18" s="5" t="s">
        <v>236</v>
      </c>
      <c r="E18" s="5"/>
      <c r="F18" s="5" t="s">
        <v>231</v>
      </c>
      <c r="G18" s="5" t="s">
        <v>236</v>
      </c>
      <c r="H18" s="5" t="s">
        <v>233</v>
      </c>
      <c r="I18" s="5" t="s">
        <v>230</v>
      </c>
      <c r="K18" s="5" t="s">
        <v>239</v>
      </c>
    </row>
    <row r="19" spans="2:11" x14ac:dyDescent="0.25">
      <c r="B19" s="3" t="s">
        <v>240</v>
      </c>
      <c r="C19" s="5" t="s">
        <v>236</v>
      </c>
      <c r="D19" s="5"/>
      <c r="E19" s="5"/>
      <c r="G19" s="5" t="s">
        <v>241</v>
      </c>
      <c r="H19" s="5"/>
      <c r="I19" s="5" t="s">
        <v>234</v>
      </c>
      <c r="J19" s="5"/>
      <c r="K19" s="5" t="s">
        <v>242</v>
      </c>
    </row>
    <row r="20" spans="2:11" x14ac:dyDescent="0.25">
      <c r="B20" s="3" t="s">
        <v>243</v>
      </c>
      <c r="C20" s="5" t="s">
        <v>231</v>
      </c>
      <c r="D20" s="5"/>
      <c r="E20" s="5"/>
      <c r="F20" s="5"/>
      <c r="G20" s="5"/>
      <c r="H20" s="5"/>
      <c r="I20" s="5" t="s">
        <v>241</v>
      </c>
      <c r="J20" s="5"/>
    </row>
    <row r="21" spans="2:11" x14ac:dyDescent="0.25">
      <c r="B21" s="3" t="s">
        <v>244</v>
      </c>
      <c r="C21" s="5" t="s">
        <v>232</v>
      </c>
      <c r="D21" s="5"/>
      <c r="E21" s="5"/>
      <c r="F21" s="5"/>
      <c r="G21" s="5"/>
      <c r="H21" s="5"/>
      <c r="J21" s="5"/>
      <c r="K21"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G70"/>
  <sheetViews>
    <sheetView topLeftCell="A60" zoomScale="90" zoomScaleNormal="90" workbookViewId="0">
      <selection activeCell="D17" sqref="D17"/>
    </sheetView>
  </sheetViews>
  <sheetFormatPr baseColWidth="10" defaultColWidth="8.85546875" defaultRowHeight="15" x14ac:dyDescent="0.25"/>
  <cols>
    <col min="1" max="1" width="2.7109375" style="2" customWidth="1"/>
    <col min="2" max="2" width="12" style="2" customWidth="1"/>
    <col min="3" max="3" width="46.5703125" style="2" customWidth="1"/>
    <col min="4" max="4" width="12.28515625" style="2" customWidth="1"/>
    <col min="5" max="5" width="39.7109375" style="2" customWidth="1"/>
    <col min="6" max="6" width="37.140625" style="2" customWidth="1"/>
    <col min="7" max="7" width="69.28515625" style="2" customWidth="1"/>
    <col min="8" max="11" width="8.85546875" style="2" customWidth="1"/>
    <col min="12" max="16384" width="8.85546875" style="2"/>
  </cols>
  <sheetData>
    <row r="2" spans="2:7" ht="37.5" customHeight="1" thickBot="1" x14ac:dyDescent="0.3">
      <c r="B2" s="38" t="s">
        <v>245</v>
      </c>
    </row>
    <row r="3" spans="2:7" ht="18.600000000000001" customHeight="1" thickBot="1" x14ac:dyDescent="0.3">
      <c r="B3" s="9" t="s">
        <v>246</v>
      </c>
      <c r="C3" s="10" t="s">
        <v>247</v>
      </c>
      <c r="D3" s="10" t="s">
        <v>248</v>
      </c>
      <c r="E3" s="10" t="s">
        <v>249</v>
      </c>
      <c r="F3" s="10" t="s">
        <v>250</v>
      </c>
      <c r="G3" s="11" t="s">
        <v>251</v>
      </c>
    </row>
    <row r="4" spans="2:7" ht="28.9" customHeight="1" x14ac:dyDescent="0.25">
      <c r="B4" s="12" t="s">
        <v>29</v>
      </c>
      <c r="C4" s="13" t="s">
        <v>252</v>
      </c>
      <c r="D4" s="14" t="s">
        <v>253</v>
      </c>
      <c r="E4" s="15"/>
      <c r="F4" s="15"/>
      <c r="G4" s="16" t="s">
        <v>254</v>
      </c>
    </row>
    <row r="5" spans="2:7" ht="28.9" customHeight="1" x14ac:dyDescent="0.25">
      <c r="B5" s="17" t="s">
        <v>29</v>
      </c>
      <c r="C5" s="18" t="s">
        <v>255</v>
      </c>
      <c r="D5" s="19" t="s">
        <v>256</v>
      </c>
      <c r="G5" s="20" t="s">
        <v>254</v>
      </c>
    </row>
    <row r="6" spans="2:7" ht="28.9" customHeight="1" x14ac:dyDescent="0.25">
      <c r="B6" s="17" t="s">
        <v>29</v>
      </c>
      <c r="C6" s="18" t="s">
        <v>257</v>
      </c>
      <c r="D6" s="19" t="s">
        <v>256</v>
      </c>
      <c r="E6" s="2" t="s">
        <v>258</v>
      </c>
      <c r="F6" s="18" t="s">
        <v>259</v>
      </c>
      <c r="G6" s="20" t="s">
        <v>254</v>
      </c>
    </row>
    <row r="7" spans="2:7" ht="43.15" customHeight="1" x14ac:dyDescent="0.25">
      <c r="B7" s="17" t="s">
        <v>29</v>
      </c>
      <c r="C7" s="18" t="s">
        <v>260</v>
      </c>
      <c r="D7" s="19" t="s">
        <v>256</v>
      </c>
      <c r="E7" s="18" t="s">
        <v>261</v>
      </c>
      <c r="F7" s="18" t="s">
        <v>262</v>
      </c>
      <c r="G7" s="20" t="s">
        <v>254</v>
      </c>
    </row>
    <row r="8" spans="2:7" ht="57.6" customHeight="1" x14ac:dyDescent="0.25">
      <c r="B8" s="22" t="s">
        <v>29</v>
      </c>
      <c r="C8" s="23" t="s">
        <v>263</v>
      </c>
      <c r="D8" s="24" t="s">
        <v>253</v>
      </c>
      <c r="E8" s="25"/>
      <c r="F8" s="25"/>
      <c r="G8" s="26" t="s">
        <v>264</v>
      </c>
    </row>
    <row r="9" spans="2:7" ht="57.6" customHeight="1" x14ac:dyDescent="0.25">
      <c r="B9" s="17" t="s">
        <v>29</v>
      </c>
      <c r="C9" s="18" t="s">
        <v>265</v>
      </c>
      <c r="D9" s="19" t="s">
        <v>253</v>
      </c>
      <c r="G9" s="20" t="s">
        <v>264</v>
      </c>
    </row>
    <row r="10" spans="2:7" ht="57.6" customHeight="1" x14ac:dyDescent="0.25">
      <c r="B10" s="17" t="s">
        <v>29</v>
      </c>
      <c r="C10" s="18" t="s">
        <v>266</v>
      </c>
      <c r="D10" s="21" t="s">
        <v>267</v>
      </c>
      <c r="E10" s="18" t="s">
        <v>268</v>
      </c>
      <c r="F10" s="18" t="s">
        <v>269</v>
      </c>
      <c r="G10" s="20" t="s">
        <v>264</v>
      </c>
    </row>
    <row r="11" spans="2:7" ht="58.15" customHeight="1" thickBot="1" x14ac:dyDescent="0.3">
      <c r="B11" s="27" t="s">
        <v>29</v>
      </c>
      <c r="C11" s="28" t="s">
        <v>270</v>
      </c>
      <c r="D11" s="29" t="s">
        <v>256</v>
      </c>
      <c r="E11" s="30"/>
      <c r="F11" s="30"/>
      <c r="G11" s="31" t="s">
        <v>264</v>
      </c>
    </row>
    <row r="12" spans="2:7" ht="43.15" customHeight="1" thickBot="1" x14ac:dyDescent="0.3">
      <c r="B12" s="12" t="s">
        <v>24</v>
      </c>
      <c r="C12" s="13" t="s">
        <v>271</v>
      </c>
      <c r="D12" s="32" t="s">
        <v>267</v>
      </c>
      <c r="E12" s="13" t="s">
        <v>272</v>
      </c>
      <c r="F12" s="13" t="s">
        <v>273</v>
      </c>
      <c r="G12" s="16" t="s">
        <v>274</v>
      </c>
    </row>
    <row r="13" spans="2:7" ht="43.9" customHeight="1" thickBot="1" x14ac:dyDescent="0.3">
      <c r="B13" s="27" t="s">
        <v>24</v>
      </c>
      <c r="C13" s="28" t="s">
        <v>275</v>
      </c>
      <c r="D13" s="32" t="s">
        <v>267</v>
      </c>
      <c r="E13" s="28" t="s">
        <v>276</v>
      </c>
      <c r="F13" s="28" t="s">
        <v>259</v>
      </c>
      <c r="G13" s="31" t="s">
        <v>274</v>
      </c>
    </row>
    <row r="14" spans="2:7" ht="29.45" customHeight="1" thickBot="1" x14ac:dyDescent="0.3">
      <c r="B14" s="33" t="s">
        <v>24</v>
      </c>
      <c r="C14" s="34" t="s">
        <v>277</v>
      </c>
      <c r="D14" s="35" t="s">
        <v>256</v>
      </c>
      <c r="E14" s="34" t="s">
        <v>278</v>
      </c>
      <c r="F14" s="36" t="s">
        <v>279</v>
      </c>
      <c r="G14" s="37" t="s">
        <v>280</v>
      </c>
    </row>
    <row r="15" spans="2:7" ht="28.9" customHeight="1" x14ac:dyDescent="0.25">
      <c r="B15" s="12" t="s">
        <v>24</v>
      </c>
      <c r="C15" s="13" t="s">
        <v>281</v>
      </c>
      <c r="D15" s="14" t="s">
        <v>256</v>
      </c>
      <c r="E15" s="13" t="s">
        <v>282</v>
      </c>
      <c r="F15" s="13" t="s">
        <v>259</v>
      </c>
      <c r="G15" s="16" t="s">
        <v>283</v>
      </c>
    </row>
    <row r="16" spans="2:7" ht="28.9" customHeight="1" x14ac:dyDescent="0.25">
      <c r="B16" s="17" t="s">
        <v>24</v>
      </c>
      <c r="C16" s="18" t="s">
        <v>284</v>
      </c>
      <c r="D16" s="19" t="s">
        <v>256</v>
      </c>
      <c r="E16" s="18" t="s">
        <v>285</v>
      </c>
      <c r="G16" s="20" t="s">
        <v>283</v>
      </c>
    </row>
    <row r="17" spans="2:7" ht="29.45" customHeight="1" x14ac:dyDescent="0.25">
      <c r="B17" s="17" t="s">
        <v>24</v>
      </c>
      <c r="C17" s="18" t="s">
        <v>286</v>
      </c>
      <c r="D17" s="19" t="s">
        <v>256</v>
      </c>
      <c r="E17" s="18" t="s">
        <v>287</v>
      </c>
      <c r="G17" s="20" t="s">
        <v>283</v>
      </c>
    </row>
    <row r="18" spans="2:7" ht="137.25" customHeight="1" x14ac:dyDescent="0.25">
      <c r="B18" s="84" t="s">
        <v>24</v>
      </c>
      <c r="C18" s="85" t="s">
        <v>288</v>
      </c>
      <c r="D18" s="86" t="s">
        <v>256</v>
      </c>
      <c r="E18" s="87"/>
      <c r="F18" s="87"/>
      <c r="G18" s="88"/>
    </row>
    <row r="19" spans="2:7" ht="137.25" customHeight="1" x14ac:dyDescent="0.25">
      <c r="B19" s="71" t="s">
        <v>63</v>
      </c>
      <c r="C19" s="72" t="s">
        <v>289</v>
      </c>
      <c r="D19" s="81" t="s">
        <v>290</v>
      </c>
      <c r="E19" s="73" t="s">
        <v>291</v>
      </c>
      <c r="F19" s="73" t="s">
        <v>292</v>
      </c>
      <c r="G19" s="82" t="s">
        <v>293</v>
      </c>
    </row>
    <row r="20" spans="2:7" ht="81" customHeight="1" x14ac:dyDescent="0.25">
      <c r="B20" s="71" t="s">
        <v>63</v>
      </c>
      <c r="C20" s="72" t="s">
        <v>294</v>
      </c>
      <c r="D20" s="81" t="s">
        <v>290</v>
      </c>
      <c r="E20" s="73" t="s">
        <v>291</v>
      </c>
      <c r="F20" s="73"/>
      <c r="G20" s="82"/>
    </row>
    <row r="21" spans="2:7" ht="81" customHeight="1" x14ac:dyDescent="0.25">
      <c r="B21" s="74" t="s">
        <v>63</v>
      </c>
      <c r="C21" s="2" t="s">
        <v>295</v>
      </c>
      <c r="D21" s="19" t="s">
        <v>256</v>
      </c>
      <c r="E21" s="18" t="s">
        <v>296</v>
      </c>
      <c r="F21" s="18" t="s">
        <v>297</v>
      </c>
      <c r="G21" s="83" t="s">
        <v>298</v>
      </c>
    </row>
    <row r="22" spans="2:7" ht="42.75" customHeight="1" x14ac:dyDescent="0.25">
      <c r="B22" s="76" t="s">
        <v>63</v>
      </c>
      <c r="C22" s="77" t="s">
        <v>299</v>
      </c>
      <c r="D22" s="78" t="s">
        <v>253</v>
      </c>
      <c r="E22" s="79" t="s">
        <v>300</v>
      </c>
      <c r="F22" s="79"/>
      <c r="G22" s="80"/>
    </row>
    <row r="23" spans="2:7" ht="42.75" customHeight="1" x14ac:dyDescent="0.25">
      <c r="B23" s="84" t="s">
        <v>63</v>
      </c>
      <c r="C23" s="85" t="s">
        <v>301</v>
      </c>
      <c r="D23" s="86" t="s">
        <v>256</v>
      </c>
      <c r="E23" s="87"/>
      <c r="F23" s="87"/>
      <c r="G23" s="88"/>
    </row>
    <row r="24" spans="2:7" ht="42.75" customHeight="1" x14ac:dyDescent="0.25">
      <c r="B24" s="84" t="s">
        <v>63</v>
      </c>
      <c r="C24" s="85" t="s">
        <v>302</v>
      </c>
      <c r="D24" s="86" t="s">
        <v>256</v>
      </c>
      <c r="E24" s="87"/>
      <c r="F24" s="87"/>
      <c r="G24" s="88"/>
    </row>
    <row r="25" spans="2:7" ht="42.75" customHeight="1" x14ac:dyDescent="0.25">
      <c r="B25" s="84" t="s">
        <v>63</v>
      </c>
      <c r="C25" s="85" t="s">
        <v>303</v>
      </c>
      <c r="D25" s="86" t="s">
        <v>256</v>
      </c>
      <c r="E25" s="87"/>
      <c r="F25" s="87"/>
      <c r="G25" s="88"/>
    </row>
    <row r="26" spans="2:7" ht="42.75" customHeight="1" x14ac:dyDescent="0.25">
      <c r="B26" s="84" t="s">
        <v>63</v>
      </c>
      <c r="C26" s="85" t="s">
        <v>304</v>
      </c>
      <c r="D26" s="86" t="s">
        <v>256</v>
      </c>
      <c r="E26" s="87"/>
      <c r="F26" s="87"/>
      <c r="G26" s="88"/>
    </row>
    <row r="27" spans="2:7" ht="42.75" customHeight="1" x14ac:dyDescent="0.25">
      <c r="B27" s="74" t="s">
        <v>18</v>
      </c>
      <c r="C27" s="2" t="s">
        <v>305</v>
      </c>
      <c r="D27" s="19" t="s">
        <v>253</v>
      </c>
      <c r="E27" s="18" t="s">
        <v>306</v>
      </c>
      <c r="G27" s="75"/>
    </row>
    <row r="28" spans="2:7" ht="42.75" customHeight="1" x14ac:dyDescent="0.25">
      <c r="B28" s="74" t="s">
        <v>18</v>
      </c>
      <c r="C28" s="2" t="s">
        <v>307</v>
      </c>
      <c r="D28" s="19" t="s">
        <v>253</v>
      </c>
      <c r="E28" s="18"/>
      <c r="G28" s="75"/>
    </row>
    <row r="29" spans="2:7" ht="80.25" customHeight="1" x14ac:dyDescent="0.25">
      <c r="B29" s="74" t="s">
        <v>18</v>
      </c>
      <c r="C29" s="2" t="s">
        <v>308</v>
      </c>
      <c r="D29" s="19" t="s">
        <v>253</v>
      </c>
      <c r="E29" s="18"/>
      <c r="G29" s="75"/>
    </row>
    <row r="30" spans="2:7" ht="99" customHeight="1" x14ac:dyDescent="0.25">
      <c r="B30" s="74" t="s">
        <v>18</v>
      </c>
      <c r="C30" s="2" t="s">
        <v>309</v>
      </c>
      <c r="D30" s="19" t="s">
        <v>253</v>
      </c>
      <c r="E30" s="18"/>
      <c r="G30" s="75"/>
    </row>
    <row r="31" spans="2:7" ht="86.45" customHeight="1" x14ac:dyDescent="0.25">
      <c r="B31" s="74" t="s">
        <v>18</v>
      </c>
      <c r="C31" s="2" t="s">
        <v>310</v>
      </c>
      <c r="D31" s="19" t="s">
        <v>253</v>
      </c>
      <c r="E31" s="18"/>
      <c r="G31" s="75"/>
    </row>
    <row r="32" spans="2:7" ht="104.25" customHeight="1" x14ac:dyDescent="0.25">
      <c r="B32" s="74" t="s">
        <v>18</v>
      </c>
      <c r="C32" s="2" t="s">
        <v>311</v>
      </c>
      <c r="D32" s="19" t="s">
        <v>253</v>
      </c>
      <c r="E32" s="18"/>
      <c r="G32" s="75"/>
    </row>
    <row r="33" spans="2:7" ht="46.5" customHeight="1" thickBot="1" x14ac:dyDescent="0.3">
      <c r="B33" s="74" t="s">
        <v>18</v>
      </c>
      <c r="C33" s="2" t="s">
        <v>312</v>
      </c>
      <c r="D33" s="19" t="s">
        <v>253</v>
      </c>
      <c r="E33" s="18" t="s">
        <v>313</v>
      </c>
      <c r="F33" s="18" t="s">
        <v>314</v>
      </c>
      <c r="G33" s="75"/>
    </row>
    <row r="34" spans="2:7" ht="100.9" customHeight="1" x14ac:dyDescent="0.25">
      <c r="B34" s="76" t="s">
        <v>18</v>
      </c>
      <c r="C34" s="77" t="s">
        <v>315</v>
      </c>
      <c r="D34" s="78" t="s">
        <v>253</v>
      </c>
      <c r="E34" s="79" t="s">
        <v>316</v>
      </c>
      <c r="F34" s="93" t="s">
        <v>314</v>
      </c>
      <c r="G34" s="80" t="s">
        <v>317</v>
      </c>
    </row>
    <row r="35" spans="2:7" ht="43.15" customHeight="1" x14ac:dyDescent="0.25">
      <c r="B35" s="17" t="s">
        <v>33</v>
      </c>
      <c r="C35" s="18" t="s">
        <v>318</v>
      </c>
      <c r="D35" s="21" t="s">
        <v>267</v>
      </c>
      <c r="E35" s="2" t="s">
        <v>319</v>
      </c>
      <c r="F35" s="94" t="s">
        <v>320</v>
      </c>
      <c r="G35" s="20" t="s">
        <v>321</v>
      </c>
    </row>
    <row r="36" spans="2:7" ht="43.9" customHeight="1" thickBot="1" x14ac:dyDescent="0.3">
      <c r="B36" s="17" t="s">
        <v>33</v>
      </c>
      <c r="C36" s="18" t="s">
        <v>322</v>
      </c>
      <c r="D36" s="21" t="s">
        <v>267</v>
      </c>
      <c r="E36" s="2" t="s">
        <v>323</v>
      </c>
      <c r="F36" s="94" t="s">
        <v>324</v>
      </c>
      <c r="G36" s="20" t="s">
        <v>321</v>
      </c>
    </row>
    <row r="37" spans="2:7" ht="195" customHeight="1" x14ac:dyDescent="0.25">
      <c r="B37" s="17" t="s">
        <v>33</v>
      </c>
      <c r="C37" s="18" t="s">
        <v>325</v>
      </c>
      <c r="D37" s="21" t="s">
        <v>267</v>
      </c>
      <c r="E37" s="18" t="s">
        <v>326</v>
      </c>
      <c r="F37" s="18" t="s">
        <v>327</v>
      </c>
      <c r="G37" s="20" t="s">
        <v>321</v>
      </c>
    </row>
    <row r="38" spans="2:7" ht="188.45" customHeight="1" x14ac:dyDescent="0.25">
      <c r="B38" s="17" t="s">
        <v>33</v>
      </c>
      <c r="C38" s="18" t="s">
        <v>328</v>
      </c>
      <c r="D38" s="21" t="s">
        <v>267</v>
      </c>
      <c r="E38" s="2" t="s">
        <v>329</v>
      </c>
      <c r="F38" s="2" t="s">
        <v>330</v>
      </c>
      <c r="G38" s="39" t="s">
        <v>331</v>
      </c>
    </row>
    <row r="39" spans="2:7" ht="193.9" customHeight="1" x14ac:dyDescent="0.25">
      <c r="B39" s="84" t="s">
        <v>33</v>
      </c>
      <c r="C39" s="85" t="s">
        <v>332</v>
      </c>
      <c r="D39" s="86" t="s">
        <v>267</v>
      </c>
      <c r="E39" s="87"/>
      <c r="F39" s="87"/>
      <c r="G39" s="88"/>
    </row>
    <row r="40" spans="2:7" ht="30.6" customHeight="1" x14ac:dyDescent="0.25">
      <c r="B40" s="12" t="s">
        <v>333</v>
      </c>
      <c r="C40" s="13" t="s">
        <v>334</v>
      </c>
      <c r="D40" s="14" t="s">
        <v>256</v>
      </c>
      <c r="E40" s="13" t="s">
        <v>335</v>
      </c>
      <c r="F40" s="13" t="s">
        <v>336</v>
      </c>
      <c r="G40" s="16" t="s">
        <v>337</v>
      </c>
    </row>
    <row r="41" spans="2:7" ht="87" customHeight="1" thickBot="1" x14ac:dyDescent="0.3">
      <c r="B41" s="17" t="s">
        <v>333</v>
      </c>
      <c r="C41" s="18" t="s">
        <v>338</v>
      </c>
      <c r="D41" s="19" t="s">
        <v>256</v>
      </c>
      <c r="E41" s="18" t="s">
        <v>339</v>
      </c>
      <c r="G41" s="20" t="s">
        <v>340</v>
      </c>
    </row>
    <row r="42" spans="2:7" ht="45" x14ac:dyDescent="0.25">
      <c r="B42" s="17" t="s">
        <v>333</v>
      </c>
      <c r="C42" s="18" t="s">
        <v>338</v>
      </c>
      <c r="D42" s="19" t="s">
        <v>256</v>
      </c>
      <c r="E42" s="18" t="s">
        <v>341</v>
      </c>
      <c r="G42" s="20" t="s">
        <v>340</v>
      </c>
    </row>
    <row r="43" spans="2:7" ht="195" x14ac:dyDescent="0.25">
      <c r="B43" s="12" t="s">
        <v>6</v>
      </c>
      <c r="C43" s="15" t="s">
        <v>342</v>
      </c>
      <c r="D43" s="14" t="s">
        <v>253</v>
      </c>
      <c r="E43" s="13" t="s">
        <v>343</v>
      </c>
      <c r="F43" s="13" t="s">
        <v>344</v>
      </c>
      <c r="G43" s="16" t="s">
        <v>345</v>
      </c>
    </row>
    <row r="44" spans="2:7" ht="195" x14ac:dyDescent="0.25">
      <c r="B44" s="17" t="s">
        <v>6</v>
      </c>
      <c r="C44" s="2" t="s">
        <v>346</v>
      </c>
      <c r="D44" s="19" t="s">
        <v>253</v>
      </c>
      <c r="E44" s="18" t="s">
        <v>347</v>
      </c>
      <c r="F44" s="18" t="s">
        <v>344</v>
      </c>
      <c r="G44" s="20" t="s">
        <v>348</v>
      </c>
    </row>
    <row r="45" spans="2:7" ht="195" x14ac:dyDescent="0.25">
      <c r="B45" s="17" t="s">
        <v>6</v>
      </c>
      <c r="C45" s="2" t="s">
        <v>349</v>
      </c>
      <c r="D45" s="21" t="s">
        <v>267</v>
      </c>
      <c r="E45" s="18" t="s">
        <v>350</v>
      </c>
      <c r="F45" s="18" t="s">
        <v>351</v>
      </c>
      <c r="G45" s="20" t="s">
        <v>352</v>
      </c>
    </row>
    <row r="46" spans="2:7" ht="45" x14ac:dyDescent="0.25">
      <c r="B46" s="17" t="s">
        <v>6</v>
      </c>
      <c r="C46" s="2" t="s">
        <v>353</v>
      </c>
      <c r="D46" s="19" t="s">
        <v>253</v>
      </c>
      <c r="F46" s="18" t="s">
        <v>344</v>
      </c>
      <c r="G46" s="20" t="s">
        <v>354</v>
      </c>
    </row>
    <row r="47" spans="2:7" ht="90" x14ac:dyDescent="0.25">
      <c r="B47" s="27" t="s">
        <v>6</v>
      </c>
      <c r="C47" s="30" t="s">
        <v>355</v>
      </c>
      <c r="D47" s="29" t="s">
        <v>253</v>
      </c>
      <c r="E47" s="30"/>
      <c r="F47" s="28" t="s">
        <v>344</v>
      </c>
      <c r="G47" s="31" t="s">
        <v>356</v>
      </c>
    </row>
    <row r="48" spans="2:7" ht="45" x14ac:dyDescent="0.25">
      <c r="B48" s="84" t="s">
        <v>21</v>
      </c>
      <c r="C48" s="85" t="s">
        <v>357</v>
      </c>
      <c r="D48" s="86" t="s">
        <v>256</v>
      </c>
      <c r="E48" s="87"/>
      <c r="F48" s="87"/>
      <c r="G48" s="88"/>
    </row>
    <row r="49" spans="2:7" x14ac:dyDescent="0.25">
      <c r="B49" s="84" t="s">
        <v>21</v>
      </c>
      <c r="C49" s="85" t="s">
        <v>358</v>
      </c>
      <c r="D49" s="86" t="s">
        <v>256</v>
      </c>
      <c r="E49" s="87"/>
      <c r="F49" s="87"/>
      <c r="G49" s="88"/>
    </row>
    <row r="50" spans="2:7" ht="30" x14ac:dyDescent="0.25">
      <c r="B50" s="84" t="s">
        <v>21</v>
      </c>
      <c r="C50" s="85" t="s">
        <v>359</v>
      </c>
      <c r="D50" s="86" t="s">
        <v>256</v>
      </c>
      <c r="E50" s="87"/>
      <c r="F50" s="87"/>
      <c r="G50" s="88"/>
    </row>
    <row r="51" spans="2:7" ht="45" x14ac:dyDescent="0.25">
      <c r="B51" s="84" t="s">
        <v>21</v>
      </c>
      <c r="C51" s="85" t="s">
        <v>360</v>
      </c>
      <c r="D51" s="86" t="s">
        <v>256</v>
      </c>
      <c r="E51" s="87"/>
      <c r="F51" s="87"/>
      <c r="G51" s="88"/>
    </row>
    <row r="52" spans="2:7" ht="30" x14ac:dyDescent="0.25">
      <c r="B52" s="84" t="s">
        <v>21</v>
      </c>
      <c r="C52" s="85" t="s">
        <v>361</v>
      </c>
      <c r="D52" s="86" t="s">
        <v>256</v>
      </c>
      <c r="E52" s="87"/>
      <c r="F52" s="87"/>
      <c r="G52" s="88"/>
    </row>
    <row r="53" spans="2:7" ht="30" x14ac:dyDescent="0.25">
      <c r="B53" s="84" t="s">
        <v>21</v>
      </c>
      <c r="C53" s="85" t="s">
        <v>362</v>
      </c>
      <c r="D53" s="86" t="s">
        <v>256</v>
      </c>
      <c r="E53" s="87"/>
      <c r="F53" s="87"/>
      <c r="G53" s="88"/>
    </row>
    <row r="54" spans="2:7" ht="45" x14ac:dyDescent="0.25">
      <c r="B54" s="84" t="s">
        <v>21</v>
      </c>
      <c r="C54" s="85" t="s">
        <v>363</v>
      </c>
      <c r="D54" s="86" t="s">
        <v>256</v>
      </c>
      <c r="E54" s="87"/>
      <c r="F54" s="87"/>
      <c r="G54" s="88"/>
    </row>
    <row r="55" spans="2:7" ht="30" x14ac:dyDescent="0.25">
      <c r="B55" s="84" t="s">
        <v>21</v>
      </c>
      <c r="C55" s="85" t="s">
        <v>364</v>
      </c>
      <c r="D55" s="86" t="s">
        <v>256</v>
      </c>
      <c r="E55" s="87"/>
      <c r="F55" s="87"/>
      <c r="G55" s="88"/>
    </row>
    <row r="56" spans="2:7" ht="30" x14ac:dyDescent="0.25">
      <c r="B56" s="84" t="s">
        <v>21</v>
      </c>
      <c r="C56" s="85" t="s">
        <v>365</v>
      </c>
      <c r="D56" s="86" t="s">
        <v>256</v>
      </c>
      <c r="E56" s="87"/>
      <c r="F56" s="87"/>
      <c r="G56" s="88"/>
    </row>
    <row r="57" spans="2:7" ht="60" x14ac:dyDescent="0.25">
      <c r="B57" s="84" t="s">
        <v>21</v>
      </c>
      <c r="C57" s="85" t="s">
        <v>366</v>
      </c>
      <c r="D57" s="86" t="s">
        <v>256</v>
      </c>
      <c r="E57" s="87"/>
      <c r="F57" s="87"/>
      <c r="G57" s="88"/>
    </row>
    <row r="58" spans="2:7" ht="60" x14ac:dyDescent="0.25">
      <c r="B58" s="84" t="s">
        <v>21</v>
      </c>
      <c r="C58" s="85" t="s">
        <v>367</v>
      </c>
      <c r="D58" s="86" t="s">
        <v>256</v>
      </c>
      <c r="E58" s="87"/>
      <c r="F58" s="87"/>
      <c r="G58" s="88"/>
    </row>
    <row r="59" spans="2:7" ht="60" x14ac:dyDescent="0.25">
      <c r="B59" s="84" t="s">
        <v>21</v>
      </c>
      <c r="C59" s="85" t="s">
        <v>368</v>
      </c>
      <c r="D59" s="86" t="s">
        <v>256</v>
      </c>
      <c r="E59" s="87"/>
      <c r="F59" s="87"/>
      <c r="G59" s="88"/>
    </row>
    <row r="60" spans="2:7" ht="30" x14ac:dyDescent="0.25">
      <c r="B60" s="84" t="s">
        <v>21</v>
      </c>
      <c r="C60" s="85" t="s">
        <v>369</v>
      </c>
      <c r="D60" s="86" t="s">
        <v>256</v>
      </c>
      <c r="E60" s="87"/>
      <c r="F60" s="87"/>
      <c r="G60" s="88"/>
    </row>
    <row r="61" spans="2:7" ht="30" x14ac:dyDescent="0.25">
      <c r="B61" s="84" t="s">
        <v>69</v>
      </c>
      <c r="C61" s="85" t="s">
        <v>370</v>
      </c>
      <c r="D61" s="86" t="s">
        <v>256</v>
      </c>
      <c r="E61" s="87"/>
      <c r="F61" s="87"/>
      <c r="G61" s="88"/>
    </row>
    <row r="62" spans="2:7" ht="30" x14ac:dyDescent="0.25">
      <c r="B62" s="84" t="s">
        <v>69</v>
      </c>
      <c r="C62" s="85" t="s">
        <v>371</v>
      </c>
      <c r="D62" s="86" t="s">
        <v>256</v>
      </c>
      <c r="E62" s="87"/>
      <c r="F62" s="87"/>
      <c r="G62" s="88"/>
    </row>
    <row r="63" spans="2:7" ht="45" x14ac:dyDescent="0.25">
      <c r="B63" s="84" t="s">
        <v>69</v>
      </c>
      <c r="C63" s="85" t="s">
        <v>372</v>
      </c>
      <c r="D63" s="86" t="s">
        <v>256</v>
      </c>
      <c r="E63" s="87"/>
      <c r="F63" s="87"/>
      <c r="G63" s="88"/>
    </row>
    <row r="64" spans="2:7" ht="30" x14ac:dyDescent="0.25">
      <c r="B64" s="84" t="s">
        <v>69</v>
      </c>
      <c r="C64" s="85" t="s">
        <v>373</v>
      </c>
      <c r="D64" s="86" t="s">
        <v>256</v>
      </c>
      <c r="E64" s="87"/>
      <c r="F64" s="87"/>
      <c r="G64" s="88"/>
    </row>
    <row r="65" spans="2:7" ht="30" x14ac:dyDescent="0.25">
      <c r="B65" s="84" t="s">
        <v>69</v>
      </c>
      <c r="C65" s="85" t="s">
        <v>374</v>
      </c>
      <c r="D65" s="86" t="s">
        <v>256</v>
      </c>
      <c r="E65" s="87"/>
      <c r="F65" s="87"/>
      <c r="G65" s="88"/>
    </row>
    <row r="66" spans="2:7" ht="45" x14ac:dyDescent="0.25">
      <c r="B66" s="84" t="s">
        <v>69</v>
      </c>
      <c r="C66" s="85" t="s">
        <v>375</v>
      </c>
      <c r="D66" s="86" t="s">
        <v>256</v>
      </c>
      <c r="E66" s="87"/>
      <c r="F66" s="87"/>
      <c r="G66" s="88"/>
    </row>
    <row r="67" spans="2:7" x14ac:dyDescent="0.25">
      <c r="B67" s="84" t="s">
        <v>14</v>
      </c>
      <c r="C67" s="85" t="s">
        <v>376</v>
      </c>
      <c r="D67" s="86" t="s">
        <v>256</v>
      </c>
      <c r="E67" s="87"/>
      <c r="F67" s="87"/>
      <c r="G67" s="88"/>
    </row>
    <row r="68" spans="2:7" x14ac:dyDescent="0.25">
      <c r="B68" s="84" t="s">
        <v>14</v>
      </c>
      <c r="C68" s="85" t="s">
        <v>377</v>
      </c>
      <c r="D68" s="86" t="s">
        <v>256</v>
      </c>
      <c r="E68" s="87"/>
      <c r="F68" s="87"/>
      <c r="G68" s="88"/>
    </row>
    <row r="69" spans="2:7" x14ac:dyDescent="0.25">
      <c r="B69" s="84" t="s">
        <v>14</v>
      </c>
      <c r="C69" s="85" t="s">
        <v>378</v>
      </c>
      <c r="D69" s="86" t="s">
        <v>256</v>
      </c>
      <c r="E69" s="87"/>
      <c r="F69" s="87"/>
      <c r="G69" s="88"/>
    </row>
    <row r="70" spans="2:7" ht="30" x14ac:dyDescent="0.25">
      <c r="B70" s="84" t="s">
        <v>14</v>
      </c>
      <c r="C70" s="85" t="s">
        <v>379</v>
      </c>
      <c r="D70" s="86" t="s">
        <v>256</v>
      </c>
      <c r="E70" s="87"/>
      <c r="F70" s="87"/>
      <c r="G70" s="88"/>
    </row>
  </sheetData>
  <autoFilter ref="B3:G34" xr:uid="{00000000-0009-0000-0000-000002000000}"/>
  <mergeCells count="1">
    <mergeCell ref="F34:F3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Q14"/>
  <sheetViews>
    <sheetView workbookViewId="0">
      <selection activeCell="F5" sqref="F5"/>
    </sheetView>
  </sheetViews>
  <sheetFormatPr baseColWidth="10" defaultColWidth="9.140625" defaultRowHeight="15" x14ac:dyDescent="0.25"/>
  <cols>
    <col min="2" max="2" width="12" customWidth="1"/>
    <col min="3" max="3" width="57.140625" customWidth="1"/>
    <col min="4" max="5" width="19.28515625" customWidth="1"/>
    <col min="6" max="6" width="15" customWidth="1"/>
    <col min="7" max="7" width="11.85546875" customWidth="1"/>
    <col min="8" max="8" width="10.7109375" customWidth="1"/>
    <col min="9" max="9" width="9.85546875" customWidth="1"/>
    <col min="10" max="11" width="10.5703125" customWidth="1"/>
    <col min="12" max="12" width="7.85546875" customWidth="1"/>
    <col min="13" max="13" width="62.42578125" customWidth="1"/>
    <col min="14" max="14" width="45" customWidth="1"/>
    <col min="16" max="17" width="9.42578125" bestFit="1" customWidth="1"/>
  </cols>
  <sheetData>
    <row r="2" spans="2:17" ht="21" customHeight="1" x14ac:dyDescent="0.35">
      <c r="B2" s="60" t="s">
        <v>380</v>
      </c>
      <c r="C2" s="60"/>
    </row>
    <row r="4" spans="2:17" ht="43.15" customHeight="1" x14ac:dyDescent="0.25">
      <c r="B4" s="69" t="s">
        <v>381</v>
      </c>
      <c r="C4" s="69" t="s">
        <v>382</v>
      </c>
      <c r="D4" s="68" t="s">
        <v>383</v>
      </c>
      <c r="E4" s="58" t="s">
        <v>384</v>
      </c>
      <c r="F4" s="59" t="s">
        <v>385</v>
      </c>
      <c r="G4" s="59" t="s">
        <v>386</v>
      </c>
      <c r="H4" s="59" t="s">
        <v>387</v>
      </c>
      <c r="I4" s="59" t="s">
        <v>388</v>
      </c>
      <c r="J4" s="59" t="s">
        <v>389</v>
      </c>
      <c r="K4" s="59" t="s">
        <v>390</v>
      </c>
      <c r="L4" s="59" t="s">
        <v>391</v>
      </c>
      <c r="M4" s="58" t="s">
        <v>392</v>
      </c>
      <c r="N4" s="58" t="s">
        <v>393</v>
      </c>
    </row>
    <row r="5" spans="2:17" ht="42.6" customHeight="1" x14ac:dyDescent="0.25">
      <c r="B5" s="70" t="s">
        <v>6</v>
      </c>
      <c r="C5" s="70" t="s">
        <v>394</v>
      </c>
      <c r="D5" s="64" t="s">
        <v>395</v>
      </c>
      <c r="E5" s="41" t="s">
        <v>395</v>
      </c>
      <c r="F5" s="45">
        <v>0.77</v>
      </c>
      <c r="G5" s="46" t="s">
        <v>396</v>
      </c>
      <c r="H5" s="47">
        <v>1</v>
      </c>
      <c r="I5" s="46" t="s">
        <v>396</v>
      </c>
      <c r="J5" s="47">
        <v>1.01</v>
      </c>
      <c r="K5" s="44" t="s">
        <v>396</v>
      </c>
      <c r="L5" s="42">
        <v>2</v>
      </c>
      <c r="M5" s="40" t="s">
        <v>397</v>
      </c>
      <c r="N5" s="40" t="s">
        <v>398</v>
      </c>
    </row>
    <row r="6" spans="2:17" ht="42.6" customHeight="1" x14ac:dyDescent="0.25">
      <c r="B6" s="70" t="s">
        <v>18</v>
      </c>
      <c r="C6" s="70" t="s">
        <v>399</v>
      </c>
      <c r="D6" s="65" t="s">
        <v>400</v>
      </c>
      <c r="E6" s="43" t="s">
        <v>400</v>
      </c>
      <c r="F6" s="49">
        <v>0.97</v>
      </c>
      <c r="G6" s="46" t="s">
        <v>396</v>
      </c>
      <c r="H6" s="47">
        <v>0.95</v>
      </c>
      <c r="I6" s="46" t="s">
        <v>396</v>
      </c>
      <c r="J6" s="47">
        <v>1.05</v>
      </c>
      <c r="K6" s="48">
        <v>6</v>
      </c>
      <c r="L6" s="42">
        <v>3</v>
      </c>
      <c r="M6" s="40" t="s">
        <v>401</v>
      </c>
      <c r="N6" s="40" t="s">
        <v>396</v>
      </c>
    </row>
    <row r="7" spans="2:17" ht="42.6" customHeight="1" x14ac:dyDescent="0.25">
      <c r="B7" s="70" t="s">
        <v>33</v>
      </c>
      <c r="C7" s="70" t="s">
        <v>402</v>
      </c>
      <c r="D7" s="65" t="s">
        <v>400</v>
      </c>
      <c r="E7" s="43" t="s">
        <v>400</v>
      </c>
      <c r="F7" s="49">
        <v>0.65000000000000191</v>
      </c>
      <c r="G7" s="50">
        <v>0.55202837426136353</v>
      </c>
      <c r="H7" s="47">
        <v>0.98070203221697061</v>
      </c>
      <c r="I7" s="47">
        <v>0.99829990031034122</v>
      </c>
      <c r="J7" s="47">
        <v>1.0760758704453901</v>
      </c>
      <c r="K7" s="44" t="s">
        <v>396</v>
      </c>
      <c r="L7" s="42">
        <v>2</v>
      </c>
      <c r="M7" s="40" t="s">
        <v>403</v>
      </c>
      <c r="N7" s="40" t="s">
        <v>404</v>
      </c>
    </row>
    <row r="8" spans="2:17" ht="42.6" customHeight="1" x14ac:dyDescent="0.25">
      <c r="B8" s="70" t="s">
        <v>63</v>
      </c>
      <c r="C8" s="70" t="s">
        <v>405</v>
      </c>
      <c r="D8" s="65" t="s">
        <v>400</v>
      </c>
      <c r="E8" s="43" t="s">
        <v>400</v>
      </c>
      <c r="F8" s="51">
        <v>0.04</v>
      </c>
      <c r="G8" s="47">
        <v>1.39</v>
      </c>
      <c r="H8" s="47">
        <v>1.39</v>
      </c>
      <c r="I8" s="47">
        <v>1</v>
      </c>
      <c r="J8" s="47">
        <v>1</v>
      </c>
      <c r="K8" s="44" t="s">
        <v>396</v>
      </c>
      <c r="L8" s="42">
        <v>2</v>
      </c>
      <c r="M8" s="40" t="s">
        <v>406</v>
      </c>
      <c r="N8" s="40" t="s">
        <v>407</v>
      </c>
    </row>
    <row r="9" spans="2:17" ht="42.6" customHeight="1" x14ac:dyDescent="0.25">
      <c r="B9" s="70" t="s">
        <v>29</v>
      </c>
      <c r="C9" s="70" t="s">
        <v>408</v>
      </c>
      <c r="D9" s="64" t="s">
        <v>395</v>
      </c>
      <c r="E9" s="43" t="s">
        <v>400</v>
      </c>
      <c r="F9" s="49">
        <v>0.65</v>
      </c>
      <c r="G9" s="46" t="s">
        <v>396</v>
      </c>
      <c r="H9" s="50">
        <v>0.75</v>
      </c>
      <c r="I9" s="46" t="s">
        <v>396</v>
      </c>
      <c r="J9" s="50">
        <v>0.74</v>
      </c>
      <c r="K9" s="44" t="s">
        <v>396</v>
      </c>
      <c r="L9" s="42">
        <v>2</v>
      </c>
      <c r="M9" s="40" t="s">
        <v>409</v>
      </c>
      <c r="N9" s="40" t="s">
        <v>410</v>
      </c>
    </row>
    <row r="10" spans="2:17" ht="42.6" customHeight="1" x14ac:dyDescent="0.25">
      <c r="B10" s="70" t="s">
        <v>24</v>
      </c>
      <c r="C10" s="70" t="s">
        <v>411</v>
      </c>
      <c r="D10" s="66" t="s">
        <v>412</v>
      </c>
      <c r="E10" s="53" t="s">
        <v>412</v>
      </c>
      <c r="F10" s="49">
        <v>0.38000000000000012</v>
      </c>
      <c r="G10" s="52">
        <v>3.2321905146600778E-2</v>
      </c>
      <c r="H10" s="50">
        <v>0.4608036086469921</v>
      </c>
      <c r="I10" s="47">
        <v>1.129574230040155</v>
      </c>
      <c r="J10" s="50">
        <v>2.737091349830477</v>
      </c>
      <c r="K10" s="44" t="s">
        <v>396</v>
      </c>
      <c r="L10" s="42">
        <v>2</v>
      </c>
      <c r="M10" s="40" t="s">
        <v>413</v>
      </c>
      <c r="N10" s="40" t="s">
        <v>414</v>
      </c>
    </row>
    <row r="11" spans="2:17" ht="42.6" customHeight="1" x14ac:dyDescent="0.25">
      <c r="B11" s="70" t="s">
        <v>85</v>
      </c>
      <c r="C11" s="70" t="s">
        <v>415</v>
      </c>
      <c r="D11" s="65" t="s">
        <v>400</v>
      </c>
      <c r="E11" s="43" t="s">
        <v>400</v>
      </c>
      <c r="F11" s="54">
        <v>1</v>
      </c>
      <c r="G11" s="46" t="s">
        <v>396</v>
      </c>
      <c r="H11" s="47">
        <v>0.95</v>
      </c>
      <c r="I11" s="46" t="s">
        <v>396</v>
      </c>
      <c r="J11" s="47">
        <v>0.9</v>
      </c>
      <c r="K11" s="42">
        <v>3</v>
      </c>
      <c r="L11" s="42">
        <v>3</v>
      </c>
      <c r="M11" s="40" t="s">
        <v>401</v>
      </c>
      <c r="N11" s="40" t="s">
        <v>396</v>
      </c>
    </row>
    <row r="12" spans="2:17" ht="42.6" customHeight="1" x14ac:dyDescent="0.25">
      <c r="B12" s="70" t="s">
        <v>21</v>
      </c>
      <c r="C12" s="70" t="s">
        <v>416</v>
      </c>
      <c r="D12" s="64" t="s">
        <v>395</v>
      </c>
      <c r="E12" s="43" t="s">
        <v>400</v>
      </c>
      <c r="F12" s="41"/>
      <c r="G12" s="41"/>
      <c r="H12" s="41"/>
      <c r="I12" s="41"/>
      <c r="J12" s="41"/>
      <c r="K12" s="41"/>
      <c r="L12" s="41"/>
      <c r="M12" s="55" t="s">
        <v>417</v>
      </c>
      <c r="N12" s="40" t="s">
        <v>418</v>
      </c>
    </row>
    <row r="13" spans="2:17" ht="42.6" customHeight="1" x14ac:dyDescent="0.25">
      <c r="B13" s="70" t="s">
        <v>69</v>
      </c>
      <c r="C13" s="70" t="s">
        <v>419</v>
      </c>
      <c r="D13" s="67" t="s">
        <v>420</v>
      </c>
      <c r="E13" s="56" t="s">
        <v>420</v>
      </c>
      <c r="F13" s="56"/>
      <c r="G13" s="56"/>
      <c r="H13" s="56"/>
      <c r="I13" s="56"/>
      <c r="J13" s="56"/>
      <c r="K13" s="56"/>
      <c r="L13" s="56"/>
      <c r="M13" s="55" t="s">
        <v>421</v>
      </c>
      <c r="N13" s="40" t="s">
        <v>418</v>
      </c>
    </row>
    <row r="14" spans="2:17" ht="42.6" customHeight="1" x14ac:dyDescent="0.25">
      <c r="B14" s="70" t="s">
        <v>14</v>
      </c>
      <c r="C14" s="70" t="s">
        <v>422</v>
      </c>
      <c r="D14" s="65" t="s">
        <v>400</v>
      </c>
      <c r="E14" s="43" t="s">
        <v>400</v>
      </c>
      <c r="F14" s="43"/>
      <c r="G14" s="43"/>
      <c r="H14" s="43"/>
      <c r="I14" s="43"/>
      <c r="J14" s="43"/>
      <c r="K14" s="43"/>
      <c r="L14" s="43"/>
      <c r="M14" s="55" t="s">
        <v>423</v>
      </c>
      <c r="N14" s="40" t="s">
        <v>424</v>
      </c>
      <c r="P14" s="57"/>
      <c r="Q14" s="57"/>
    </row>
  </sheetData>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E12"/>
  <sheetViews>
    <sheetView workbookViewId="0">
      <selection activeCell="L11" sqref="L11"/>
    </sheetView>
  </sheetViews>
  <sheetFormatPr baseColWidth="10" defaultColWidth="9.140625" defaultRowHeight="15" x14ac:dyDescent="0.25"/>
  <sheetData>
    <row r="2" spans="2:5" x14ac:dyDescent="0.25">
      <c r="B2" t="s">
        <v>6</v>
      </c>
      <c r="C2" t="s">
        <v>425</v>
      </c>
      <c r="D2" t="s">
        <v>426</v>
      </c>
      <c r="E2" t="s">
        <v>394</v>
      </c>
    </row>
    <row r="3" spans="2:5" x14ac:dyDescent="0.25">
      <c r="B3" t="s">
        <v>6</v>
      </c>
      <c r="C3" t="s">
        <v>427</v>
      </c>
      <c r="D3" t="s">
        <v>426</v>
      </c>
      <c r="E3" t="s">
        <v>394</v>
      </c>
    </row>
    <row r="4" spans="2:5" x14ac:dyDescent="0.25">
      <c r="B4" t="s">
        <v>18</v>
      </c>
      <c r="D4" t="s">
        <v>428</v>
      </c>
      <c r="E4" t="s">
        <v>399</v>
      </c>
    </row>
    <row r="5" spans="2:5" x14ac:dyDescent="0.25">
      <c r="B5" t="s">
        <v>33</v>
      </c>
      <c r="C5" t="s">
        <v>429</v>
      </c>
      <c r="D5" t="s">
        <v>430</v>
      </c>
      <c r="E5" t="s">
        <v>402</v>
      </c>
    </row>
    <row r="6" spans="2:5" x14ac:dyDescent="0.25">
      <c r="B6" t="s">
        <v>63</v>
      </c>
      <c r="C6" t="s">
        <v>431</v>
      </c>
      <c r="D6" t="s">
        <v>432</v>
      </c>
      <c r="E6" t="s">
        <v>405</v>
      </c>
    </row>
    <row r="7" spans="2:5" x14ac:dyDescent="0.25">
      <c r="B7" t="s">
        <v>29</v>
      </c>
      <c r="C7" t="s">
        <v>433</v>
      </c>
      <c r="D7" t="s">
        <v>434</v>
      </c>
      <c r="E7" t="s">
        <v>408</v>
      </c>
    </row>
    <row r="8" spans="2:5" x14ac:dyDescent="0.25">
      <c r="B8" t="s">
        <v>24</v>
      </c>
      <c r="D8" t="s">
        <v>435</v>
      </c>
      <c r="E8" t="s">
        <v>411</v>
      </c>
    </row>
    <row r="9" spans="2:5" x14ac:dyDescent="0.25">
      <c r="B9" t="s">
        <v>85</v>
      </c>
      <c r="D9" t="s">
        <v>436</v>
      </c>
      <c r="E9" t="s">
        <v>415</v>
      </c>
    </row>
    <row r="10" spans="2:5" x14ac:dyDescent="0.25">
      <c r="B10" t="s">
        <v>21</v>
      </c>
      <c r="D10" t="s">
        <v>437</v>
      </c>
      <c r="E10" t="s">
        <v>416</v>
      </c>
    </row>
    <row r="11" spans="2:5" x14ac:dyDescent="0.25">
      <c r="B11" t="s">
        <v>69</v>
      </c>
      <c r="D11" t="s">
        <v>438</v>
      </c>
      <c r="E11" t="s">
        <v>419</v>
      </c>
    </row>
    <row r="12" spans="2:5" x14ac:dyDescent="0.25">
      <c r="B12" t="s">
        <v>14</v>
      </c>
      <c r="D12" t="s">
        <v>439</v>
      </c>
      <c r="E12" t="s">
        <v>422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13"/>
  <sheetViews>
    <sheetView showGridLines="0" tabSelected="1" workbookViewId="0">
      <pane ySplit="3" topLeftCell="A102" activePane="bottomLeft" state="frozen"/>
      <selection activeCell="A7" sqref="A7:H8"/>
      <selection pane="bottomLeft" activeCell="A107" sqref="A107:H113"/>
    </sheetView>
  </sheetViews>
  <sheetFormatPr baseColWidth="10" defaultColWidth="9.140625" defaultRowHeight="15" x14ac:dyDescent="0.25"/>
  <cols>
    <col min="1" max="1" width="13" customWidth="1"/>
    <col min="2" max="2" width="12" customWidth="1"/>
    <col min="3" max="3" width="45" customWidth="1"/>
    <col min="4" max="4" width="13" customWidth="1"/>
    <col min="5" max="5" width="55" customWidth="1"/>
    <col min="6" max="7" width="12" customWidth="1"/>
    <col min="8" max="8" width="18" customWidth="1"/>
  </cols>
  <sheetData>
    <row r="1" spans="1:8" ht="28.15" customHeight="1" x14ac:dyDescent="0.25">
      <c r="A1" s="89" t="s">
        <v>440</v>
      </c>
      <c r="B1" s="90"/>
      <c r="C1" s="90"/>
      <c r="D1" s="90"/>
      <c r="E1" s="90"/>
      <c r="F1" s="90"/>
      <c r="G1" s="90"/>
      <c r="H1" s="90"/>
    </row>
    <row r="2" spans="1:8" ht="4.9000000000000004" customHeight="1" x14ac:dyDescent="0.25"/>
    <row r="3" spans="1:8" ht="22.15" customHeight="1" x14ac:dyDescent="0.25">
      <c r="A3" t="s">
        <v>246</v>
      </c>
      <c r="B3" t="s">
        <v>441</v>
      </c>
      <c r="C3" t="s">
        <v>442</v>
      </c>
      <c r="D3" t="s">
        <v>443</v>
      </c>
      <c r="E3" t="s">
        <v>444</v>
      </c>
      <c r="F3" t="s">
        <v>445</v>
      </c>
      <c r="G3" t="s">
        <v>446</v>
      </c>
      <c r="H3" t="s">
        <v>447</v>
      </c>
    </row>
    <row r="4" spans="1:8" ht="18" customHeight="1" x14ac:dyDescent="0.25">
      <c r="A4" t="s">
        <v>14</v>
      </c>
      <c r="B4" t="s">
        <v>448</v>
      </c>
      <c r="C4" t="s">
        <v>449</v>
      </c>
      <c r="D4" t="s">
        <v>450</v>
      </c>
      <c r="E4" t="s">
        <v>451</v>
      </c>
      <c r="F4">
        <v>477</v>
      </c>
      <c r="G4">
        <v>200</v>
      </c>
      <c r="H4" t="s">
        <v>452</v>
      </c>
    </row>
    <row r="5" spans="1:8" ht="18" customHeight="1" x14ac:dyDescent="0.25">
      <c r="A5" t="s">
        <v>14</v>
      </c>
      <c r="B5" t="s">
        <v>448</v>
      </c>
      <c r="C5" t="s">
        <v>449</v>
      </c>
      <c r="D5" t="s">
        <v>453</v>
      </c>
      <c r="E5" t="s">
        <v>454</v>
      </c>
      <c r="F5">
        <v>3443</v>
      </c>
      <c r="G5">
        <v>2500</v>
      </c>
      <c r="H5" t="s">
        <v>452</v>
      </c>
    </row>
    <row r="6" spans="1:8" ht="18" customHeight="1" x14ac:dyDescent="0.25">
      <c r="A6" t="s">
        <v>14</v>
      </c>
      <c r="B6" t="s">
        <v>448</v>
      </c>
      <c r="C6" t="s">
        <v>449</v>
      </c>
      <c r="D6" t="s">
        <v>455</v>
      </c>
      <c r="E6" t="s">
        <v>456</v>
      </c>
      <c r="F6">
        <v>0</v>
      </c>
      <c r="G6">
        <v>5</v>
      </c>
      <c r="H6" t="s">
        <v>452</v>
      </c>
    </row>
    <row r="7" spans="1:8" ht="18" customHeight="1" x14ac:dyDescent="0.25">
      <c r="A7" t="s">
        <v>14</v>
      </c>
      <c r="B7" t="s">
        <v>457</v>
      </c>
      <c r="C7" t="s">
        <v>458</v>
      </c>
      <c r="D7" t="s">
        <v>459</v>
      </c>
      <c r="E7" t="s">
        <v>460</v>
      </c>
      <c r="F7">
        <v>188</v>
      </c>
      <c r="G7">
        <v>174</v>
      </c>
      <c r="H7" t="s">
        <v>461</v>
      </c>
    </row>
    <row r="8" spans="1:8" ht="18" customHeight="1" x14ac:dyDescent="0.25">
      <c r="A8" t="s">
        <v>14</v>
      </c>
      <c r="B8" t="s">
        <v>457</v>
      </c>
      <c r="C8" t="s">
        <v>458</v>
      </c>
      <c r="D8" t="s">
        <v>462</v>
      </c>
      <c r="E8" t="s">
        <v>463</v>
      </c>
      <c r="F8">
        <v>8.6999999999999993</v>
      </c>
      <c r="G8">
        <v>7.4</v>
      </c>
      <c r="H8" t="s">
        <v>461</v>
      </c>
    </row>
    <row r="9" spans="1:8" ht="18" customHeight="1" x14ac:dyDescent="0.25">
      <c r="A9" t="s">
        <v>14</v>
      </c>
      <c r="B9" t="s">
        <v>464</v>
      </c>
      <c r="C9" t="s">
        <v>465</v>
      </c>
      <c r="D9" t="s">
        <v>466</v>
      </c>
      <c r="E9" t="s">
        <v>467</v>
      </c>
      <c r="F9">
        <v>22338</v>
      </c>
      <c r="G9">
        <v>14600</v>
      </c>
      <c r="H9" t="s">
        <v>452</v>
      </c>
    </row>
    <row r="10" spans="1:8" ht="18" customHeight="1" x14ac:dyDescent="0.25">
      <c r="A10" t="s">
        <v>24</v>
      </c>
      <c r="B10" t="s">
        <v>448</v>
      </c>
      <c r="C10" t="s">
        <v>468</v>
      </c>
      <c r="D10" t="s">
        <v>450</v>
      </c>
      <c r="E10" t="s">
        <v>469</v>
      </c>
      <c r="F10">
        <v>9</v>
      </c>
      <c r="G10">
        <v>0.5</v>
      </c>
      <c r="H10" t="s">
        <v>461</v>
      </c>
    </row>
    <row r="11" spans="1:8" ht="18" customHeight="1" x14ac:dyDescent="0.25">
      <c r="A11" t="s">
        <v>24</v>
      </c>
      <c r="B11" t="s">
        <v>448</v>
      </c>
      <c r="C11" t="s">
        <v>468</v>
      </c>
      <c r="D11" t="s">
        <v>453</v>
      </c>
      <c r="E11" t="s">
        <v>470</v>
      </c>
      <c r="F11">
        <v>6.5</v>
      </c>
      <c r="G11">
        <v>5.5</v>
      </c>
      <c r="H11" t="s">
        <v>471</v>
      </c>
    </row>
    <row r="12" spans="1:8" ht="18" customHeight="1" x14ac:dyDescent="0.25">
      <c r="A12" t="s">
        <v>24</v>
      </c>
      <c r="B12" t="s">
        <v>448</v>
      </c>
      <c r="C12" t="s">
        <v>468</v>
      </c>
      <c r="D12" t="s">
        <v>455</v>
      </c>
      <c r="E12" t="s">
        <v>472</v>
      </c>
      <c r="F12">
        <v>1</v>
      </c>
      <c r="G12">
        <v>1.6</v>
      </c>
      <c r="H12" t="s">
        <v>452</v>
      </c>
    </row>
    <row r="13" spans="1:8" ht="18" customHeight="1" x14ac:dyDescent="0.25">
      <c r="A13" t="s">
        <v>24</v>
      </c>
      <c r="B13" t="s">
        <v>448</v>
      </c>
      <c r="C13" t="s">
        <v>468</v>
      </c>
      <c r="D13" t="s">
        <v>473</v>
      </c>
      <c r="E13" t="s">
        <v>474</v>
      </c>
      <c r="F13">
        <v>0</v>
      </c>
      <c r="G13">
        <v>95</v>
      </c>
      <c r="H13" t="s">
        <v>461</v>
      </c>
    </row>
    <row r="14" spans="1:8" ht="18" customHeight="1" x14ac:dyDescent="0.25">
      <c r="A14" t="s">
        <v>6</v>
      </c>
      <c r="B14" t="s">
        <v>448</v>
      </c>
      <c r="C14" t="s">
        <v>475</v>
      </c>
      <c r="D14" t="s">
        <v>450</v>
      </c>
      <c r="E14" t="s">
        <v>476</v>
      </c>
      <c r="F14">
        <v>0.23799999999999999</v>
      </c>
      <c r="G14">
        <v>0.23799999999999999</v>
      </c>
      <c r="H14" t="s">
        <v>452</v>
      </c>
    </row>
    <row r="15" spans="1:8" ht="18" customHeight="1" x14ac:dyDescent="0.25">
      <c r="A15" t="s">
        <v>6</v>
      </c>
      <c r="B15" t="s">
        <v>448</v>
      </c>
      <c r="C15" t="s">
        <v>475</v>
      </c>
      <c r="D15" t="s">
        <v>453</v>
      </c>
      <c r="E15" t="s">
        <v>477</v>
      </c>
      <c r="F15">
        <v>0.314</v>
      </c>
      <c r="G15">
        <v>0.30499999999999999</v>
      </c>
      <c r="H15" t="s">
        <v>452</v>
      </c>
    </row>
    <row r="16" spans="1:8" ht="18" customHeight="1" x14ac:dyDescent="0.25">
      <c r="A16" t="s">
        <v>6</v>
      </c>
      <c r="B16" t="s">
        <v>448</v>
      </c>
      <c r="C16" t="s">
        <v>475</v>
      </c>
      <c r="D16" t="s">
        <v>455</v>
      </c>
      <c r="E16" t="s">
        <v>478</v>
      </c>
      <c r="F16">
        <v>0.82</v>
      </c>
      <c r="G16">
        <v>0.68799999999999994</v>
      </c>
      <c r="H16" t="s">
        <v>452</v>
      </c>
    </row>
    <row r="17" spans="1:8" ht="18" customHeight="1" x14ac:dyDescent="0.25">
      <c r="A17" t="s">
        <v>6</v>
      </c>
      <c r="B17" t="s">
        <v>448</v>
      </c>
      <c r="C17" t="s">
        <v>475</v>
      </c>
      <c r="D17" t="s">
        <v>473</v>
      </c>
      <c r="E17" t="s">
        <v>479</v>
      </c>
      <c r="F17">
        <v>0.70399999999999996</v>
      </c>
      <c r="G17">
        <v>0.61399999999999999</v>
      </c>
      <c r="H17" t="s">
        <v>452</v>
      </c>
    </row>
    <row r="18" spans="1:8" ht="18" customHeight="1" x14ac:dyDescent="0.25">
      <c r="A18" t="s">
        <v>6</v>
      </c>
      <c r="B18" t="s">
        <v>448</v>
      </c>
      <c r="C18" t="s">
        <v>475</v>
      </c>
      <c r="D18" t="s">
        <v>480</v>
      </c>
      <c r="E18" t="s">
        <v>481</v>
      </c>
      <c r="F18">
        <v>1.004</v>
      </c>
      <c r="G18">
        <v>0.94699999999999995</v>
      </c>
      <c r="H18" t="s">
        <v>452</v>
      </c>
    </row>
    <row r="19" spans="1:8" ht="18" customHeight="1" x14ac:dyDescent="0.25">
      <c r="A19" t="s">
        <v>6</v>
      </c>
      <c r="B19" t="s">
        <v>448</v>
      </c>
      <c r="C19" t="s">
        <v>475</v>
      </c>
      <c r="D19" t="s">
        <v>482</v>
      </c>
      <c r="E19" t="s">
        <v>483</v>
      </c>
      <c r="F19">
        <v>1.5129999999999999</v>
      </c>
      <c r="G19">
        <v>1.3220000000000001</v>
      </c>
      <c r="H19" t="s">
        <v>452</v>
      </c>
    </row>
    <row r="20" spans="1:8" ht="18" customHeight="1" x14ac:dyDescent="0.25">
      <c r="A20" t="s">
        <v>6</v>
      </c>
      <c r="B20" t="s">
        <v>448</v>
      </c>
      <c r="C20" t="s">
        <v>475</v>
      </c>
      <c r="D20" t="s">
        <v>484</v>
      </c>
      <c r="E20" t="s">
        <v>485</v>
      </c>
      <c r="F20">
        <v>0.35799999999999998</v>
      </c>
      <c r="G20">
        <v>0.249</v>
      </c>
      <c r="H20" t="s">
        <v>452</v>
      </c>
    </row>
    <row r="21" spans="1:8" ht="18" customHeight="1" x14ac:dyDescent="0.25">
      <c r="A21" t="s">
        <v>6</v>
      </c>
      <c r="B21" t="s">
        <v>448</v>
      </c>
      <c r="C21" t="s">
        <v>475</v>
      </c>
      <c r="D21" t="s">
        <v>486</v>
      </c>
      <c r="E21" t="s">
        <v>487</v>
      </c>
      <c r="F21">
        <v>0.54100000000000004</v>
      </c>
      <c r="G21">
        <v>0.33900000000000002</v>
      </c>
      <c r="H21" t="s">
        <v>452</v>
      </c>
    </row>
    <row r="22" spans="1:8" ht="18" customHeight="1" x14ac:dyDescent="0.25">
      <c r="A22" t="s">
        <v>6</v>
      </c>
      <c r="B22" t="s">
        <v>448</v>
      </c>
      <c r="C22" t="s">
        <v>475</v>
      </c>
      <c r="D22" t="s">
        <v>488</v>
      </c>
      <c r="E22" t="s">
        <v>489</v>
      </c>
      <c r="F22">
        <v>1.5580000000000001</v>
      </c>
      <c r="G22">
        <v>1.0209999999999999</v>
      </c>
      <c r="H22" t="s">
        <v>452</v>
      </c>
    </row>
    <row r="23" spans="1:8" ht="18" customHeight="1" x14ac:dyDescent="0.25">
      <c r="A23" t="s">
        <v>6</v>
      </c>
      <c r="B23" t="s">
        <v>448</v>
      </c>
      <c r="C23" t="s">
        <v>475</v>
      </c>
      <c r="D23" t="s">
        <v>490</v>
      </c>
      <c r="E23" t="s">
        <v>491</v>
      </c>
      <c r="F23">
        <v>1.238</v>
      </c>
      <c r="G23">
        <v>0.873</v>
      </c>
      <c r="H23" t="s">
        <v>452</v>
      </c>
    </row>
    <row r="24" spans="1:8" ht="18" customHeight="1" x14ac:dyDescent="0.25">
      <c r="A24" t="s">
        <v>6</v>
      </c>
      <c r="B24" t="s">
        <v>448</v>
      </c>
      <c r="C24" t="s">
        <v>475</v>
      </c>
      <c r="D24" t="s">
        <v>492</v>
      </c>
      <c r="E24" t="s">
        <v>493</v>
      </c>
      <c r="F24">
        <v>1.835</v>
      </c>
      <c r="G24">
        <v>1.1839999999999999</v>
      </c>
      <c r="H24" t="s">
        <v>452</v>
      </c>
    </row>
    <row r="25" spans="1:8" ht="18" customHeight="1" x14ac:dyDescent="0.25">
      <c r="A25" t="s">
        <v>6</v>
      </c>
      <c r="B25" t="s">
        <v>448</v>
      </c>
      <c r="C25" t="s">
        <v>475</v>
      </c>
      <c r="D25" t="s">
        <v>494</v>
      </c>
      <c r="E25" t="s">
        <v>495</v>
      </c>
      <c r="F25">
        <v>2.726</v>
      </c>
      <c r="G25">
        <v>1.3939999999999999</v>
      </c>
      <c r="H25" t="s">
        <v>452</v>
      </c>
    </row>
    <row r="26" spans="1:8" ht="18" customHeight="1" x14ac:dyDescent="0.25">
      <c r="A26" t="s">
        <v>6</v>
      </c>
      <c r="B26" t="s">
        <v>448</v>
      </c>
      <c r="C26" t="s">
        <v>475</v>
      </c>
      <c r="D26" t="s">
        <v>496</v>
      </c>
      <c r="E26" t="s">
        <v>497</v>
      </c>
      <c r="F26">
        <v>0.24</v>
      </c>
      <c r="G26">
        <v>0.24</v>
      </c>
      <c r="H26" t="s">
        <v>452</v>
      </c>
    </row>
    <row r="27" spans="1:8" ht="18" customHeight="1" x14ac:dyDescent="0.25">
      <c r="A27" t="s">
        <v>6</v>
      </c>
      <c r="B27" t="s">
        <v>448</v>
      </c>
      <c r="C27" t="s">
        <v>475</v>
      </c>
      <c r="D27" t="s">
        <v>498</v>
      </c>
      <c r="E27" t="s">
        <v>499</v>
      </c>
      <c r="F27">
        <v>0.31</v>
      </c>
      <c r="G27">
        <v>0.31</v>
      </c>
      <c r="H27" t="s">
        <v>452</v>
      </c>
    </row>
    <row r="28" spans="1:8" ht="18" customHeight="1" x14ac:dyDescent="0.25">
      <c r="A28" t="s">
        <v>6</v>
      </c>
      <c r="B28" t="s">
        <v>448</v>
      </c>
      <c r="C28" t="s">
        <v>475</v>
      </c>
      <c r="D28" t="s">
        <v>500</v>
      </c>
      <c r="E28" t="s">
        <v>501</v>
      </c>
      <c r="F28">
        <v>0.84</v>
      </c>
      <c r="G28">
        <v>0.71</v>
      </c>
      <c r="H28" t="s">
        <v>461</v>
      </c>
    </row>
    <row r="29" spans="1:8" ht="18" customHeight="1" x14ac:dyDescent="0.25">
      <c r="A29" t="s">
        <v>6</v>
      </c>
      <c r="B29" t="s">
        <v>448</v>
      </c>
      <c r="C29" t="s">
        <v>475</v>
      </c>
      <c r="D29" t="s">
        <v>502</v>
      </c>
      <c r="E29" t="s">
        <v>503</v>
      </c>
      <c r="F29">
        <v>0.73</v>
      </c>
      <c r="G29">
        <v>0.64</v>
      </c>
      <c r="H29" t="s">
        <v>461</v>
      </c>
    </row>
    <row r="30" spans="1:8" ht="18" customHeight="1" x14ac:dyDescent="0.25">
      <c r="A30" t="s">
        <v>6</v>
      </c>
      <c r="B30" t="s">
        <v>448</v>
      </c>
      <c r="C30" t="s">
        <v>475</v>
      </c>
      <c r="D30" t="s">
        <v>504</v>
      </c>
      <c r="E30" t="s">
        <v>505</v>
      </c>
      <c r="F30">
        <v>1.02</v>
      </c>
      <c r="G30">
        <v>0.98</v>
      </c>
      <c r="H30" t="s">
        <v>461</v>
      </c>
    </row>
    <row r="31" spans="1:8" ht="18" customHeight="1" x14ac:dyDescent="0.25">
      <c r="A31" t="s">
        <v>6</v>
      </c>
      <c r="B31" t="s">
        <v>448</v>
      </c>
      <c r="C31" t="s">
        <v>475</v>
      </c>
      <c r="D31" t="s">
        <v>506</v>
      </c>
      <c r="E31" t="s">
        <v>507</v>
      </c>
      <c r="F31">
        <v>1.52</v>
      </c>
      <c r="G31">
        <v>1.36</v>
      </c>
      <c r="H31" t="s">
        <v>461</v>
      </c>
    </row>
    <row r="32" spans="1:8" ht="18" customHeight="1" x14ac:dyDescent="0.25">
      <c r="A32" t="s">
        <v>6</v>
      </c>
      <c r="B32" t="s">
        <v>457</v>
      </c>
      <c r="C32" t="s">
        <v>508</v>
      </c>
      <c r="D32" t="s">
        <v>459</v>
      </c>
      <c r="E32" t="s">
        <v>509</v>
      </c>
      <c r="F32">
        <v>63</v>
      </c>
      <c r="G32">
        <v>47</v>
      </c>
      <c r="H32" t="s">
        <v>452</v>
      </c>
    </row>
    <row r="33" spans="1:8" ht="18" customHeight="1" x14ac:dyDescent="0.25">
      <c r="A33" t="s">
        <v>6</v>
      </c>
      <c r="B33" t="s">
        <v>457</v>
      </c>
      <c r="C33" t="s">
        <v>508</v>
      </c>
      <c r="D33" t="s">
        <v>462</v>
      </c>
      <c r="E33" t="s">
        <v>510</v>
      </c>
      <c r="F33">
        <v>56</v>
      </c>
      <c r="G33">
        <v>48</v>
      </c>
      <c r="H33" t="s">
        <v>452</v>
      </c>
    </row>
    <row r="34" spans="1:8" ht="18" customHeight="1" x14ac:dyDescent="0.25">
      <c r="A34" t="s">
        <v>6</v>
      </c>
      <c r="B34" t="s">
        <v>457</v>
      </c>
      <c r="C34" t="s">
        <v>508</v>
      </c>
      <c r="D34" t="s">
        <v>511</v>
      </c>
      <c r="E34" t="s">
        <v>512</v>
      </c>
      <c r="F34">
        <v>84</v>
      </c>
      <c r="G34">
        <v>54</v>
      </c>
      <c r="H34" t="s">
        <v>452</v>
      </c>
    </row>
    <row r="35" spans="1:8" ht="18" customHeight="1" x14ac:dyDescent="0.25">
      <c r="A35" t="s">
        <v>6</v>
      </c>
      <c r="B35" t="s">
        <v>457</v>
      </c>
      <c r="C35" t="s">
        <v>508</v>
      </c>
      <c r="D35" t="s">
        <v>513</v>
      </c>
      <c r="E35" t="s">
        <v>514</v>
      </c>
      <c r="F35">
        <v>77</v>
      </c>
      <c r="G35">
        <v>56</v>
      </c>
      <c r="H35" t="s">
        <v>452</v>
      </c>
    </row>
    <row r="36" spans="1:8" ht="18" customHeight="1" x14ac:dyDescent="0.25">
      <c r="A36" t="s">
        <v>6</v>
      </c>
      <c r="B36" t="s">
        <v>457</v>
      </c>
      <c r="C36" t="s">
        <v>508</v>
      </c>
      <c r="D36" t="s">
        <v>515</v>
      </c>
      <c r="E36" t="s">
        <v>516</v>
      </c>
      <c r="F36">
        <v>84</v>
      </c>
      <c r="G36">
        <v>47</v>
      </c>
      <c r="H36" t="s">
        <v>452</v>
      </c>
    </row>
    <row r="37" spans="1:8" ht="18" customHeight="1" x14ac:dyDescent="0.25">
      <c r="A37" t="s">
        <v>6</v>
      </c>
      <c r="B37" t="s">
        <v>457</v>
      </c>
      <c r="C37" t="s">
        <v>508</v>
      </c>
      <c r="D37" t="s">
        <v>517</v>
      </c>
      <c r="E37" t="s">
        <v>518</v>
      </c>
      <c r="F37">
        <v>75</v>
      </c>
      <c r="G37">
        <v>55</v>
      </c>
      <c r="H37" t="s">
        <v>452</v>
      </c>
    </row>
    <row r="38" spans="1:8" ht="18" customHeight="1" x14ac:dyDescent="0.25">
      <c r="A38" t="s">
        <v>6</v>
      </c>
      <c r="B38" t="s">
        <v>457</v>
      </c>
      <c r="C38" t="s">
        <v>508</v>
      </c>
      <c r="D38" t="s">
        <v>519</v>
      </c>
      <c r="E38" t="s">
        <v>520</v>
      </c>
      <c r="F38">
        <v>33</v>
      </c>
      <c r="G38">
        <v>21</v>
      </c>
      <c r="H38" t="s">
        <v>452</v>
      </c>
    </row>
    <row r="39" spans="1:8" ht="18" customHeight="1" x14ac:dyDescent="0.25">
      <c r="A39" t="s">
        <v>6</v>
      </c>
      <c r="B39" t="s">
        <v>457</v>
      </c>
      <c r="C39" t="s">
        <v>508</v>
      </c>
      <c r="D39" t="s">
        <v>521</v>
      </c>
      <c r="E39" t="s">
        <v>522</v>
      </c>
      <c r="F39">
        <v>32</v>
      </c>
      <c r="G39">
        <v>22</v>
      </c>
      <c r="H39" t="s">
        <v>452</v>
      </c>
    </row>
    <row r="40" spans="1:8" ht="18" customHeight="1" x14ac:dyDescent="0.25">
      <c r="A40" t="s">
        <v>6</v>
      </c>
      <c r="B40" t="s">
        <v>457</v>
      </c>
      <c r="C40" t="s">
        <v>508</v>
      </c>
      <c r="D40" t="s">
        <v>523</v>
      </c>
      <c r="E40" t="s">
        <v>524</v>
      </c>
      <c r="F40">
        <v>43</v>
      </c>
      <c r="G40">
        <v>29</v>
      </c>
      <c r="H40" t="s">
        <v>452</v>
      </c>
    </row>
    <row r="41" spans="1:8" ht="18" customHeight="1" x14ac:dyDescent="0.25">
      <c r="A41" t="s">
        <v>6</v>
      </c>
      <c r="B41" t="s">
        <v>457</v>
      </c>
      <c r="C41" t="s">
        <v>508</v>
      </c>
      <c r="D41" t="s">
        <v>525</v>
      </c>
      <c r="E41" t="s">
        <v>526</v>
      </c>
      <c r="F41">
        <v>41</v>
      </c>
      <c r="G41">
        <v>30</v>
      </c>
      <c r="H41" t="s">
        <v>452</v>
      </c>
    </row>
    <row r="42" spans="1:8" ht="18" customHeight="1" x14ac:dyDescent="0.25">
      <c r="A42" t="s">
        <v>6</v>
      </c>
      <c r="B42" t="s">
        <v>457</v>
      </c>
      <c r="C42" t="s">
        <v>508</v>
      </c>
      <c r="D42" t="s">
        <v>527</v>
      </c>
      <c r="E42" t="s">
        <v>528</v>
      </c>
      <c r="F42">
        <v>42</v>
      </c>
      <c r="G42">
        <v>26</v>
      </c>
      <c r="H42" t="s">
        <v>452</v>
      </c>
    </row>
    <row r="43" spans="1:8" ht="18" customHeight="1" x14ac:dyDescent="0.25">
      <c r="A43" t="s">
        <v>6</v>
      </c>
      <c r="B43" t="s">
        <v>457</v>
      </c>
      <c r="C43" t="s">
        <v>508</v>
      </c>
      <c r="D43" t="s">
        <v>529</v>
      </c>
      <c r="E43" t="s">
        <v>530</v>
      </c>
      <c r="F43">
        <v>17</v>
      </c>
      <c r="G43">
        <v>8</v>
      </c>
      <c r="H43" t="s">
        <v>452</v>
      </c>
    </row>
    <row r="44" spans="1:8" ht="18" customHeight="1" x14ac:dyDescent="0.25">
      <c r="A44" t="s">
        <v>6</v>
      </c>
      <c r="B44" t="s">
        <v>457</v>
      </c>
      <c r="C44" t="s">
        <v>508</v>
      </c>
      <c r="D44" t="s">
        <v>531</v>
      </c>
      <c r="E44" t="s">
        <v>532</v>
      </c>
      <c r="F44">
        <v>45</v>
      </c>
      <c r="G44">
        <v>32</v>
      </c>
      <c r="H44" t="s">
        <v>461</v>
      </c>
    </row>
    <row r="45" spans="1:8" ht="18" customHeight="1" x14ac:dyDescent="0.25">
      <c r="A45" t="s">
        <v>6</v>
      </c>
      <c r="B45" t="s">
        <v>457</v>
      </c>
      <c r="C45" t="s">
        <v>508</v>
      </c>
      <c r="D45" t="s">
        <v>533</v>
      </c>
      <c r="E45" t="s">
        <v>534</v>
      </c>
      <c r="F45">
        <v>39</v>
      </c>
      <c r="G45">
        <v>32</v>
      </c>
      <c r="H45" t="s">
        <v>461</v>
      </c>
    </row>
    <row r="46" spans="1:8" ht="18" customHeight="1" x14ac:dyDescent="0.25">
      <c r="A46" t="s">
        <v>6</v>
      </c>
      <c r="B46" t="s">
        <v>457</v>
      </c>
      <c r="C46" t="s">
        <v>508</v>
      </c>
      <c r="D46" t="s">
        <v>535</v>
      </c>
      <c r="E46" t="s">
        <v>536</v>
      </c>
      <c r="F46">
        <v>61</v>
      </c>
      <c r="G46">
        <v>38</v>
      </c>
      <c r="H46" t="s">
        <v>461</v>
      </c>
    </row>
    <row r="47" spans="1:8" ht="18" customHeight="1" x14ac:dyDescent="0.25">
      <c r="A47" t="s">
        <v>6</v>
      </c>
      <c r="B47" t="s">
        <v>457</v>
      </c>
      <c r="C47" t="s">
        <v>508</v>
      </c>
      <c r="D47" t="s">
        <v>537</v>
      </c>
      <c r="E47" t="s">
        <v>538</v>
      </c>
      <c r="F47">
        <v>55</v>
      </c>
      <c r="G47">
        <v>39</v>
      </c>
      <c r="H47" t="s">
        <v>461</v>
      </c>
    </row>
    <row r="48" spans="1:8" ht="18" customHeight="1" x14ac:dyDescent="0.25">
      <c r="A48" t="s">
        <v>6</v>
      </c>
      <c r="B48" t="s">
        <v>457</v>
      </c>
      <c r="C48" t="s">
        <v>508</v>
      </c>
      <c r="D48" t="s">
        <v>539</v>
      </c>
      <c r="E48" t="s">
        <v>540</v>
      </c>
      <c r="F48">
        <v>61</v>
      </c>
      <c r="G48">
        <v>32</v>
      </c>
      <c r="H48" t="s">
        <v>461</v>
      </c>
    </row>
    <row r="49" spans="1:8" ht="18" customHeight="1" x14ac:dyDescent="0.25">
      <c r="A49" t="s">
        <v>6</v>
      </c>
      <c r="B49" t="s">
        <v>457</v>
      </c>
      <c r="C49" t="s">
        <v>508</v>
      </c>
      <c r="D49" t="s">
        <v>541</v>
      </c>
      <c r="E49" t="s">
        <v>542</v>
      </c>
      <c r="F49">
        <v>54</v>
      </c>
      <c r="G49">
        <v>39</v>
      </c>
      <c r="H49" t="s">
        <v>461</v>
      </c>
    </row>
    <row r="50" spans="1:8" ht="18" customHeight="1" x14ac:dyDescent="0.25">
      <c r="A50" t="s">
        <v>6</v>
      </c>
      <c r="B50" t="s">
        <v>464</v>
      </c>
      <c r="C50" t="s">
        <v>543</v>
      </c>
      <c r="D50" t="s">
        <v>466</v>
      </c>
      <c r="E50" t="s">
        <v>544</v>
      </c>
      <c r="F50">
        <v>2</v>
      </c>
      <c r="G50">
        <v>3</v>
      </c>
      <c r="H50" t="s">
        <v>461</v>
      </c>
    </row>
    <row r="51" spans="1:8" ht="18" customHeight="1" x14ac:dyDescent="0.25">
      <c r="A51" t="s">
        <v>6</v>
      </c>
      <c r="B51" t="s">
        <v>464</v>
      </c>
      <c r="C51" t="s">
        <v>543</v>
      </c>
      <c r="D51" t="s">
        <v>545</v>
      </c>
      <c r="E51" t="s">
        <v>546</v>
      </c>
      <c r="F51">
        <v>2</v>
      </c>
      <c r="G51">
        <v>3</v>
      </c>
      <c r="H51" t="s">
        <v>452</v>
      </c>
    </row>
    <row r="52" spans="1:8" ht="18" customHeight="1" x14ac:dyDescent="0.25">
      <c r="A52" t="s">
        <v>6</v>
      </c>
      <c r="B52" t="s">
        <v>464</v>
      </c>
      <c r="C52" t="s">
        <v>543</v>
      </c>
      <c r="D52" t="s">
        <v>547</v>
      </c>
      <c r="E52" t="s">
        <v>548</v>
      </c>
      <c r="F52">
        <v>2</v>
      </c>
      <c r="G52">
        <v>3</v>
      </c>
      <c r="H52" t="s">
        <v>452</v>
      </c>
    </row>
    <row r="53" spans="1:8" ht="18" customHeight="1" x14ac:dyDescent="0.25">
      <c r="A53" t="s">
        <v>6</v>
      </c>
      <c r="B53" t="s">
        <v>464</v>
      </c>
      <c r="C53" t="s">
        <v>543</v>
      </c>
      <c r="D53" t="s">
        <v>549</v>
      </c>
      <c r="E53" t="s">
        <v>550</v>
      </c>
      <c r="F53" t="s">
        <v>551</v>
      </c>
      <c r="G53" t="s">
        <v>552</v>
      </c>
      <c r="H53" t="s">
        <v>452</v>
      </c>
    </row>
    <row r="54" spans="1:8" ht="18" customHeight="1" x14ac:dyDescent="0.25">
      <c r="A54" t="s">
        <v>6</v>
      </c>
      <c r="B54" t="s">
        <v>464</v>
      </c>
      <c r="C54" t="s">
        <v>543</v>
      </c>
      <c r="D54" t="s">
        <v>553</v>
      </c>
      <c r="E54" t="s">
        <v>554</v>
      </c>
      <c r="F54" t="s">
        <v>555</v>
      </c>
      <c r="G54" t="s">
        <v>555</v>
      </c>
      <c r="H54" t="s">
        <v>452</v>
      </c>
    </row>
    <row r="55" spans="1:8" ht="18" customHeight="1" x14ac:dyDescent="0.25">
      <c r="A55" t="s">
        <v>6</v>
      </c>
      <c r="B55" t="s">
        <v>464</v>
      </c>
      <c r="C55" t="s">
        <v>543</v>
      </c>
      <c r="D55" t="s">
        <v>556</v>
      </c>
      <c r="E55" t="s">
        <v>557</v>
      </c>
      <c r="F55" t="s">
        <v>558</v>
      </c>
      <c r="G55" t="s">
        <v>559</v>
      </c>
      <c r="H55" t="s">
        <v>452</v>
      </c>
    </row>
    <row r="56" spans="1:8" ht="18" customHeight="1" x14ac:dyDescent="0.25">
      <c r="A56" t="s">
        <v>6</v>
      </c>
      <c r="B56" t="s">
        <v>464</v>
      </c>
      <c r="C56" t="s">
        <v>543</v>
      </c>
      <c r="D56" t="s">
        <v>560</v>
      </c>
      <c r="E56" t="s">
        <v>561</v>
      </c>
      <c r="F56" t="s">
        <v>562</v>
      </c>
      <c r="G56" t="s">
        <v>563</v>
      </c>
      <c r="H56" t="s">
        <v>452</v>
      </c>
    </row>
    <row r="57" spans="1:8" ht="18" customHeight="1" x14ac:dyDescent="0.25">
      <c r="A57" t="s">
        <v>18</v>
      </c>
      <c r="B57" t="s">
        <v>448</v>
      </c>
      <c r="C57" t="s">
        <v>564</v>
      </c>
      <c r="D57" t="s">
        <v>450</v>
      </c>
      <c r="E57" t="s">
        <v>565</v>
      </c>
      <c r="F57">
        <v>53.7</v>
      </c>
      <c r="G57">
        <v>65.599999999999994</v>
      </c>
      <c r="H57" t="s">
        <v>452</v>
      </c>
    </row>
    <row r="58" spans="1:8" ht="18" customHeight="1" x14ac:dyDescent="0.25">
      <c r="A58" t="s">
        <v>18</v>
      </c>
      <c r="B58" t="s">
        <v>457</v>
      </c>
      <c r="C58" t="s">
        <v>566</v>
      </c>
      <c r="D58" t="s">
        <v>459</v>
      </c>
      <c r="E58" t="s">
        <v>567</v>
      </c>
      <c r="F58">
        <v>0.52</v>
      </c>
      <c r="G58">
        <v>0.37</v>
      </c>
      <c r="H58" t="s">
        <v>452</v>
      </c>
    </row>
    <row r="59" spans="1:8" ht="18" customHeight="1" x14ac:dyDescent="0.25">
      <c r="A59" t="s">
        <v>18</v>
      </c>
      <c r="B59" t="s">
        <v>464</v>
      </c>
      <c r="C59" t="s">
        <v>568</v>
      </c>
      <c r="D59" t="s">
        <v>466</v>
      </c>
      <c r="E59" t="s">
        <v>569</v>
      </c>
      <c r="F59">
        <v>0.31</v>
      </c>
      <c r="G59">
        <v>0.21</v>
      </c>
      <c r="H59" t="s">
        <v>452</v>
      </c>
    </row>
    <row r="60" spans="1:8" ht="18" customHeight="1" x14ac:dyDescent="0.25">
      <c r="A60" t="s">
        <v>18</v>
      </c>
      <c r="B60" t="s">
        <v>570</v>
      </c>
      <c r="C60" t="s">
        <v>571</v>
      </c>
      <c r="D60" t="s">
        <v>572</v>
      </c>
      <c r="E60" t="s">
        <v>573</v>
      </c>
      <c r="F60">
        <v>62</v>
      </c>
      <c r="G60">
        <v>14</v>
      </c>
      <c r="H60" t="s">
        <v>452</v>
      </c>
    </row>
    <row r="61" spans="1:8" ht="18" customHeight="1" x14ac:dyDescent="0.25">
      <c r="A61" t="s">
        <v>18</v>
      </c>
      <c r="B61" t="s">
        <v>574</v>
      </c>
      <c r="C61" t="s">
        <v>575</v>
      </c>
      <c r="D61" t="s">
        <v>576</v>
      </c>
      <c r="E61" t="s">
        <v>577</v>
      </c>
      <c r="F61">
        <v>49</v>
      </c>
      <c r="G61">
        <v>100</v>
      </c>
      <c r="H61" t="s">
        <v>452</v>
      </c>
    </row>
    <row r="62" spans="1:8" ht="18" customHeight="1" x14ac:dyDescent="0.25">
      <c r="A62" t="s">
        <v>18</v>
      </c>
      <c r="B62" t="s">
        <v>578</v>
      </c>
      <c r="C62" t="s">
        <v>579</v>
      </c>
      <c r="D62" t="s">
        <v>580</v>
      </c>
      <c r="E62" t="s">
        <v>581</v>
      </c>
      <c r="F62">
        <v>7</v>
      </c>
      <c r="G62">
        <v>20</v>
      </c>
      <c r="H62" t="s">
        <v>452</v>
      </c>
    </row>
    <row r="63" spans="1:8" ht="18" customHeight="1" x14ac:dyDescent="0.25">
      <c r="A63" t="s">
        <v>18</v>
      </c>
      <c r="B63" t="s">
        <v>448</v>
      </c>
      <c r="C63" t="s">
        <v>564</v>
      </c>
      <c r="D63" t="s">
        <v>450</v>
      </c>
      <c r="E63" t="s">
        <v>582</v>
      </c>
      <c r="F63">
        <v>53.7</v>
      </c>
      <c r="G63">
        <v>65.599999999999994</v>
      </c>
      <c r="H63" t="s">
        <v>452</v>
      </c>
    </row>
    <row r="64" spans="1:8" ht="18" customHeight="1" x14ac:dyDescent="0.25">
      <c r="A64" t="s">
        <v>18</v>
      </c>
      <c r="B64" t="s">
        <v>457</v>
      </c>
      <c r="C64" t="s">
        <v>566</v>
      </c>
      <c r="D64" t="s">
        <v>459</v>
      </c>
      <c r="E64" t="s">
        <v>567</v>
      </c>
      <c r="F64">
        <v>0.52</v>
      </c>
      <c r="G64">
        <v>0.37</v>
      </c>
      <c r="H64" t="s">
        <v>452</v>
      </c>
    </row>
    <row r="65" spans="1:8" ht="18" customHeight="1" x14ac:dyDescent="0.25">
      <c r="A65" t="s">
        <v>18</v>
      </c>
      <c r="B65" t="s">
        <v>464</v>
      </c>
      <c r="C65" t="s">
        <v>568</v>
      </c>
      <c r="D65" t="s">
        <v>466</v>
      </c>
      <c r="E65" t="s">
        <v>569</v>
      </c>
      <c r="F65">
        <v>0.31</v>
      </c>
      <c r="G65">
        <v>0.21</v>
      </c>
      <c r="H65" t="s">
        <v>452</v>
      </c>
    </row>
    <row r="66" spans="1:8" ht="18" customHeight="1" x14ac:dyDescent="0.25">
      <c r="A66" t="s">
        <v>18</v>
      </c>
      <c r="B66" t="s">
        <v>570</v>
      </c>
      <c r="C66" t="s">
        <v>571</v>
      </c>
      <c r="D66" t="s">
        <v>572</v>
      </c>
      <c r="E66" t="s">
        <v>573</v>
      </c>
      <c r="F66">
        <v>62</v>
      </c>
      <c r="G66">
        <v>14</v>
      </c>
      <c r="H66" t="s">
        <v>452</v>
      </c>
    </row>
    <row r="67" spans="1:8" ht="18" customHeight="1" x14ac:dyDescent="0.25">
      <c r="A67" t="s">
        <v>18</v>
      </c>
      <c r="B67" t="s">
        <v>574</v>
      </c>
      <c r="C67" t="s">
        <v>575</v>
      </c>
      <c r="D67" t="s">
        <v>576</v>
      </c>
      <c r="E67" t="s">
        <v>577</v>
      </c>
      <c r="F67">
        <v>49</v>
      </c>
      <c r="G67">
        <v>100</v>
      </c>
      <c r="H67" t="s">
        <v>452</v>
      </c>
    </row>
    <row r="68" spans="1:8" ht="18" customHeight="1" x14ac:dyDescent="0.25">
      <c r="A68" t="s">
        <v>18</v>
      </c>
      <c r="B68" t="s">
        <v>578</v>
      </c>
      <c r="C68" t="s">
        <v>579</v>
      </c>
      <c r="D68" t="s">
        <v>580</v>
      </c>
      <c r="E68" t="s">
        <v>581</v>
      </c>
      <c r="F68">
        <v>7</v>
      </c>
      <c r="G68">
        <v>20</v>
      </c>
      <c r="H68" t="s">
        <v>452</v>
      </c>
    </row>
    <row r="69" spans="1:8" ht="18" customHeight="1" x14ac:dyDescent="0.25">
      <c r="A69" t="s">
        <v>29</v>
      </c>
      <c r="B69" t="s">
        <v>448</v>
      </c>
      <c r="C69" t="s">
        <v>583</v>
      </c>
      <c r="D69" t="s">
        <v>450</v>
      </c>
      <c r="E69" t="s">
        <v>584</v>
      </c>
      <c r="F69">
        <v>19.25</v>
      </c>
      <c r="G69">
        <v>17.329999999999998</v>
      </c>
      <c r="H69" t="s">
        <v>461</v>
      </c>
    </row>
    <row r="70" spans="1:8" ht="18" customHeight="1" x14ac:dyDescent="0.25">
      <c r="A70" t="s">
        <v>29</v>
      </c>
      <c r="B70" t="s">
        <v>448</v>
      </c>
      <c r="C70" t="s">
        <v>583</v>
      </c>
      <c r="D70" t="s">
        <v>453</v>
      </c>
      <c r="E70" t="s">
        <v>585</v>
      </c>
      <c r="F70">
        <v>823.74</v>
      </c>
      <c r="G70">
        <v>741.37</v>
      </c>
      <c r="H70" t="s">
        <v>452</v>
      </c>
    </row>
    <row r="71" spans="1:8" ht="18" customHeight="1" x14ac:dyDescent="0.25">
      <c r="A71" t="s">
        <v>29</v>
      </c>
      <c r="B71" t="s">
        <v>457</v>
      </c>
      <c r="C71" t="s">
        <v>586</v>
      </c>
      <c r="D71" t="s">
        <v>459</v>
      </c>
      <c r="E71" t="s">
        <v>587</v>
      </c>
      <c r="F71">
        <v>7.2</v>
      </c>
      <c r="G71">
        <v>3.5</v>
      </c>
      <c r="H71" t="s">
        <v>461</v>
      </c>
    </row>
    <row r="72" spans="1:8" ht="18" customHeight="1" x14ac:dyDescent="0.25">
      <c r="A72" t="s">
        <v>29</v>
      </c>
      <c r="B72" t="s">
        <v>457</v>
      </c>
      <c r="C72" t="s">
        <v>586</v>
      </c>
      <c r="D72" t="s">
        <v>462</v>
      </c>
      <c r="E72" t="s">
        <v>588</v>
      </c>
      <c r="F72">
        <v>8.27</v>
      </c>
      <c r="G72">
        <v>4.55</v>
      </c>
      <c r="H72" t="s">
        <v>461</v>
      </c>
    </row>
    <row r="73" spans="1:8" x14ac:dyDescent="0.25">
      <c r="A73" t="s">
        <v>21</v>
      </c>
      <c r="B73">
        <v>1</v>
      </c>
      <c r="C73" t="s">
        <v>589</v>
      </c>
      <c r="D73" t="s">
        <v>450</v>
      </c>
      <c r="E73" t="s">
        <v>590</v>
      </c>
      <c r="F73">
        <v>0</v>
      </c>
      <c r="G73">
        <v>40</v>
      </c>
      <c r="H73" t="s">
        <v>461</v>
      </c>
    </row>
    <row r="74" spans="1:8" x14ac:dyDescent="0.25">
      <c r="A74" t="s">
        <v>21</v>
      </c>
      <c r="B74">
        <v>1</v>
      </c>
      <c r="C74" t="s">
        <v>589</v>
      </c>
      <c r="D74" t="s">
        <v>453</v>
      </c>
      <c r="E74" t="s">
        <v>591</v>
      </c>
      <c r="F74">
        <v>0</v>
      </c>
      <c r="G74">
        <v>70</v>
      </c>
      <c r="H74" t="s">
        <v>461</v>
      </c>
    </row>
    <row r="75" spans="1:8" x14ac:dyDescent="0.25">
      <c r="A75" t="s">
        <v>21</v>
      </c>
      <c r="B75">
        <v>1</v>
      </c>
      <c r="C75" t="s">
        <v>589</v>
      </c>
      <c r="D75" t="s">
        <v>455</v>
      </c>
      <c r="E75" t="s">
        <v>592</v>
      </c>
      <c r="F75">
        <v>0</v>
      </c>
      <c r="G75">
        <v>60</v>
      </c>
      <c r="H75" t="s">
        <v>461</v>
      </c>
    </row>
    <row r="76" spans="1:8" x14ac:dyDescent="0.25">
      <c r="A76" t="s">
        <v>21</v>
      </c>
      <c r="B76">
        <v>2</v>
      </c>
      <c r="C76" t="s">
        <v>593</v>
      </c>
      <c r="D76" t="s">
        <v>459</v>
      </c>
      <c r="E76" t="s">
        <v>594</v>
      </c>
      <c r="F76">
        <v>0</v>
      </c>
      <c r="G76">
        <v>30</v>
      </c>
      <c r="H76" t="s">
        <v>461</v>
      </c>
    </row>
    <row r="77" spans="1:8" x14ac:dyDescent="0.25">
      <c r="A77" t="s">
        <v>21</v>
      </c>
      <c r="B77">
        <v>2</v>
      </c>
      <c r="C77" t="s">
        <v>593</v>
      </c>
      <c r="D77" t="s">
        <v>462</v>
      </c>
      <c r="E77" t="s">
        <v>595</v>
      </c>
      <c r="F77">
        <v>0</v>
      </c>
      <c r="G77">
        <v>45</v>
      </c>
      <c r="H77" t="s">
        <v>461</v>
      </c>
    </row>
    <row r="78" spans="1:8" x14ac:dyDescent="0.25">
      <c r="A78" t="s">
        <v>21</v>
      </c>
      <c r="B78">
        <v>2</v>
      </c>
      <c r="C78" t="s">
        <v>593</v>
      </c>
      <c r="D78" t="s">
        <v>511</v>
      </c>
      <c r="E78" t="s">
        <v>596</v>
      </c>
      <c r="F78">
        <v>0</v>
      </c>
      <c r="G78">
        <v>80</v>
      </c>
      <c r="H78" t="s">
        <v>461</v>
      </c>
    </row>
    <row r="79" spans="1:8" x14ac:dyDescent="0.25">
      <c r="A79" t="s">
        <v>21</v>
      </c>
      <c r="B79">
        <v>2</v>
      </c>
      <c r="C79" t="s">
        <v>593</v>
      </c>
      <c r="D79" t="s">
        <v>513</v>
      </c>
      <c r="E79" t="s">
        <v>597</v>
      </c>
      <c r="F79">
        <v>0</v>
      </c>
      <c r="G79">
        <v>11</v>
      </c>
      <c r="H79" t="s">
        <v>461</v>
      </c>
    </row>
    <row r="80" spans="1:8" x14ac:dyDescent="0.25">
      <c r="A80" t="s">
        <v>21</v>
      </c>
      <c r="B80">
        <v>2</v>
      </c>
      <c r="C80" t="s">
        <v>593</v>
      </c>
      <c r="D80" t="s">
        <v>515</v>
      </c>
      <c r="E80" t="s">
        <v>598</v>
      </c>
      <c r="F80">
        <v>0</v>
      </c>
      <c r="G80">
        <v>70</v>
      </c>
      <c r="H80" t="s">
        <v>461</v>
      </c>
    </row>
    <row r="81" spans="1:8" x14ac:dyDescent="0.25">
      <c r="A81" t="s">
        <v>21</v>
      </c>
      <c r="B81">
        <v>2</v>
      </c>
      <c r="C81" t="s">
        <v>593</v>
      </c>
      <c r="D81" t="s">
        <v>517</v>
      </c>
      <c r="E81" t="s">
        <v>599</v>
      </c>
      <c r="F81">
        <v>0</v>
      </c>
      <c r="G81">
        <v>60</v>
      </c>
      <c r="H81" t="s">
        <v>461</v>
      </c>
    </row>
    <row r="82" spans="1:8" x14ac:dyDescent="0.25">
      <c r="A82" t="s">
        <v>21</v>
      </c>
      <c r="B82">
        <v>3</v>
      </c>
      <c r="C82" t="s">
        <v>600</v>
      </c>
      <c r="D82" t="s">
        <v>466</v>
      </c>
      <c r="E82" t="s">
        <v>601</v>
      </c>
      <c r="F82">
        <v>0</v>
      </c>
      <c r="G82">
        <v>70</v>
      </c>
      <c r="H82" t="s">
        <v>461</v>
      </c>
    </row>
    <row r="83" spans="1:8" x14ac:dyDescent="0.25">
      <c r="A83" t="s">
        <v>21</v>
      </c>
      <c r="B83">
        <v>3</v>
      </c>
      <c r="C83" t="s">
        <v>600</v>
      </c>
      <c r="D83" t="s">
        <v>545</v>
      </c>
      <c r="E83" t="s">
        <v>602</v>
      </c>
      <c r="F83">
        <v>0</v>
      </c>
      <c r="G83">
        <v>27</v>
      </c>
      <c r="H83" t="s">
        <v>461</v>
      </c>
    </row>
    <row r="84" spans="1:8" x14ac:dyDescent="0.25">
      <c r="A84" t="s">
        <v>21</v>
      </c>
      <c r="B84">
        <v>3</v>
      </c>
      <c r="C84" t="s">
        <v>600</v>
      </c>
      <c r="D84" t="s">
        <v>547</v>
      </c>
      <c r="E84" t="s">
        <v>603</v>
      </c>
      <c r="F84">
        <v>0</v>
      </c>
      <c r="G84">
        <v>75</v>
      </c>
      <c r="H84" t="s">
        <v>461</v>
      </c>
    </row>
    <row r="85" spans="1:8" x14ac:dyDescent="0.25">
      <c r="A85" t="s">
        <v>69</v>
      </c>
      <c r="B85">
        <v>1</v>
      </c>
      <c r="C85" t="s">
        <v>604</v>
      </c>
      <c r="D85" t="s">
        <v>450</v>
      </c>
      <c r="E85" t="s">
        <v>605</v>
      </c>
      <c r="F85" t="s">
        <v>606</v>
      </c>
      <c r="G85" t="s">
        <v>606</v>
      </c>
      <c r="H85" t="s">
        <v>452</v>
      </c>
    </row>
    <row r="86" spans="1:8" x14ac:dyDescent="0.25">
      <c r="A86" t="s">
        <v>69</v>
      </c>
      <c r="B86">
        <v>1</v>
      </c>
      <c r="C86" t="s">
        <v>604</v>
      </c>
      <c r="D86" t="s">
        <v>453</v>
      </c>
      <c r="E86" t="s">
        <v>607</v>
      </c>
      <c r="F86" t="s">
        <v>606</v>
      </c>
      <c r="G86" t="s">
        <v>606</v>
      </c>
      <c r="H86" t="s">
        <v>452</v>
      </c>
    </row>
    <row r="87" spans="1:8" x14ac:dyDescent="0.25">
      <c r="A87" t="s">
        <v>69</v>
      </c>
      <c r="B87">
        <v>1</v>
      </c>
      <c r="C87" t="s">
        <v>604</v>
      </c>
      <c r="D87" t="s">
        <v>455</v>
      </c>
      <c r="E87" t="s">
        <v>608</v>
      </c>
      <c r="F87" t="s">
        <v>606</v>
      </c>
      <c r="G87" t="s">
        <v>606</v>
      </c>
      <c r="H87" t="s">
        <v>452</v>
      </c>
    </row>
    <row r="88" spans="1:8" x14ac:dyDescent="0.25">
      <c r="A88" t="s">
        <v>69</v>
      </c>
      <c r="B88">
        <v>1</v>
      </c>
      <c r="C88" t="s">
        <v>604</v>
      </c>
      <c r="D88" t="s">
        <v>473</v>
      </c>
      <c r="E88" t="s">
        <v>609</v>
      </c>
      <c r="F88" t="s">
        <v>606</v>
      </c>
      <c r="G88" t="s">
        <v>606</v>
      </c>
      <c r="H88" t="s">
        <v>452</v>
      </c>
    </row>
    <row r="89" spans="1:8" x14ac:dyDescent="0.25">
      <c r="A89" t="s">
        <v>69</v>
      </c>
      <c r="B89">
        <v>5</v>
      </c>
      <c r="C89" t="s">
        <v>610</v>
      </c>
      <c r="D89" t="s">
        <v>576</v>
      </c>
      <c r="E89" t="s">
        <v>611</v>
      </c>
      <c r="F89" t="s">
        <v>606</v>
      </c>
      <c r="G89" t="s">
        <v>606</v>
      </c>
      <c r="H89" t="s">
        <v>452</v>
      </c>
    </row>
    <row r="90" spans="1:8" x14ac:dyDescent="0.25">
      <c r="A90" t="s">
        <v>69</v>
      </c>
      <c r="B90">
        <v>5</v>
      </c>
      <c r="C90" t="s">
        <v>610</v>
      </c>
      <c r="D90" t="s">
        <v>612</v>
      </c>
      <c r="E90" t="s">
        <v>613</v>
      </c>
      <c r="F90" t="s">
        <v>606</v>
      </c>
      <c r="G90" t="s">
        <v>606</v>
      </c>
      <c r="H90" t="s">
        <v>452</v>
      </c>
    </row>
    <row r="91" spans="1:8" x14ac:dyDescent="0.25">
      <c r="A91" t="s">
        <v>69</v>
      </c>
      <c r="B91">
        <v>5</v>
      </c>
      <c r="C91" t="s">
        <v>610</v>
      </c>
      <c r="D91" t="s">
        <v>614</v>
      </c>
      <c r="E91" t="s">
        <v>615</v>
      </c>
      <c r="F91" t="s">
        <v>606</v>
      </c>
      <c r="G91" t="s">
        <v>606</v>
      </c>
      <c r="H91" t="s">
        <v>452</v>
      </c>
    </row>
    <row r="92" spans="1:8" x14ac:dyDescent="0.25">
      <c r="A92" t="s">
        <v>69</v>
      </c>
      <c r="B92">
        <v>5</v>
      </c>
      <c r="C92" t="s">
        <v>610</v>
      </c>
      <c r="D92" t="s">
        <v>616</v>
      </c>
      <c r="E92" t="s">
        <v>617</v>
      </c>
      <c r="F92" t="s">
        <v>606</v>
      </c>
      <c r="G92" t="s">
        <v>606</v>
      </c>
      <c r="H92" t="s">
        <v>452</v>
      </c>
    </row>
    <row r="93" spans="1:8" x14ac:dyDescent="0.25">
      <c r="A93" t="s">
        <v>69</v>
      </c>
      <c r="B93">
        <v>6</v>
      </c>
      <c r="C93" t="s">
        <v>618</v>
      </c>
      <c r="D93" t="s">
        <v>580</v>
      </c>
      <c r="E93" t="s">
        <v>619</v>
      </c>
      <c r="F93" t="s">
        <v>606</v>
      </c>
      <c r="G93" t="s">
        <v>606</v>
      </c>
      <c r="H93" t="s">
        <v>452</v>
      </c>
    </row>
    <row r="94" spans="1:8" x14ac:dyDescent="0.25">
      <c r="A94" t="s">
        <v>69</v>
      </c>
      <c r="B94">
        <v>6</v>
      </c>
      <c r="C94" t="s">
        <v>618</v>
      </c>
      <c r="D94" t="s">
        <v>620</v>
      </c>
      <c r="E94" t="s">
        <v>621</v>
      </c>
      <c r="F94" t="s">
        <v>606</v>
      </c>
      <c r="G94" t="s">
        <v>606</v>
      </c>
      <c r="H94" t="s">
        <v>452</v>
      </c>
    </row>
    <row r="95" spans="1:8" x14ac:dyDescent="0.25">
      <c r="A95" t="s">
        <v>69</v>
      </c>
      <c r="B95">
        <v>6</v>
      </c>
      <c r="C95" t="s">
        <v>618</v>
      </c>
      <c r="D95" t="s">
        <v>622</v>
      </c>
      <c r="E95" t="s">
        <v>623</v>
      </c>
      <c r="F95" t="s">
        <v>606</v>
      </c>
      <c r="G95" t="s">
        <v>606</v>
      </c>
      <c r="H95" t="s">
        <v>452</v>
      </c>
    </row>
    <row r="96" spans="1:8" x14ac:dyDescent="0.25">
      <c r="A96" t="s">
        <v>69</v>
      </c>
      <c r="B96">
        <v>6</v>
      </c>
      <c r="C96" t="s">
        <v>618</v>
      </c>
      <c r="D96" t="s">
        <v>624</v>
      </c>
      <c r="E96" t="s">
        <v>625</v>
      </c>
      <c r="F96" t="s">
        <v>606</v>
      </c>
      <c r="G96" t="s">
        <v>606</v>
      </c>
      <c r="H96" t="s">
        <v>452</v>
      </c>
    </row>
    <row r="97" spans="1:8" x14ac:dyDescent="0.25">
      <c r="A97" t="s">
        <v>69</v>
      </c>
      <c r="B97">
        <v>6</v>
      </c>
      <c r="C97" t="s">
        <v>618</v>
      </c>
      <c r="D97" t="s">
        <v>626</v>
      </c>
      <c r="E97" t="s">
        <v>627</v>
      </c>
      <c r="F97" t="s">
        <v>606</v>
      </c>
      <c r="G97" t="s">
        <v>606</v>
      </c>
      <c r="H97" t="s">
        <v>452</v>
      </c>
    </row>
    <row r="98" spans="1:8" x14ac:dyDescent="0.25">
      <c r="A98" t="s">
        <v>69</v>
      </c>
      <c r="B98">
        <v>6</v>
      </c>
      <c r="C98" t="s">
        <v>618</v>
      </c>
      <c r="D98" t="s">
        <v>628</v>
      </c>
      <c r="E98" t="s">
        <v>629</v>
      </c>
      <c r="F98" t="s">
        <v>606</v>
      </c>
      <c r="G98" t="s">
        <v>606</v>
      </c>
      <c r="H98" t="s">
        <v>452</v>
      </c>
    </row>
    <row r="99" spans="1:8" x14ac:dyDescent="0.25">
      <c r="A99" t="s">
        <v>63</v>
      </c>
      <c r="B99">
        <v>1</v>
      </c>
      <c r="C99" t="s">
        <v>630</v>
      </c>
      <c r="D99" t="s">
        <v>450</v>
      </c>
      <c r="E99" t="s">
        <v>631</v>
      </c>
      <c r="F99">
        <v>102</v>
      </c>
      <c r="G99">
        <v>36</v>
      </c>
      <c r="H99" t="s">
        <v>461</v>
      </c>
    </row>
    <row r="100" spans="1:8" x14ac:dyDescent="0.25">
      <c r="A100" t="s">
        <v>63</v>
      </c>
      <c r="B100">
        <v>1</v>
      </c>
      <c r="C100" t="s">
        <v>630</v>
      </c>
      <c r="D100" t="s">
        <v>453</v>
      </c>
      <c r="E100" t="s">
        <v>632</v>
      </c>
      <c r="F100">
        <v>126</v>
      </c>
      <c r="G100">
        <v>45</v>
      </c>
      <c r="H100" t="s">
        <v>461</v>
      </c>
    </row>
    <row r="101" spans="1:8" x14ac:dyDescent="0.25">
      <c r="A101" t="s">
        <v>63</v>
      </c>
      <c r="B101">
        <v>1</v>
      </c>
      <c r="C101" t="s">
        <v>630</v>
      </c>
      <c r="D101" t="s">
        <v>455</v>
      </c>
      <c r="E101" t="s">
        <v>633</v>
      </c>
      <c r="F101">
        <v>27.17</v>
      </c>
      <c r="G101">
        <v>22.66</v>
      </c>
      <c r="H101" t="s">
        <v>461</v>
      </c>
    </row>
    <row r="102" spans="1:8" x14ac:dyDescent="0.25">
      <c r="A102" t="s">
        <v>63</v>
      </c>
      <c r="B102">
        <v>1</v>
      </c>
      <c r="C102" t="s">
        <v>630</v>
      </c>
      <c r="D102" t="s">
        <v>473</v>
      </c>
      <c r="E102" t="s">
        <v>634</v>
      </c>
      <c r="F102">
        <v>63.6</v>
      </c>
      <c r="G102">
        <v>53.05</v>
      </c>
      <c r="H102" t="s">
        <v>461</v>
      </c>
    </row>
    <row r="103" spans="1:8" x14ac:dyDescent="0.25">
      <c r="A103" t="s">
        <v>63</v>
      </c>
      <c r="B103">
        <v>1</v>
      </c>
      <c r="C103" t="s">
        <v>630</v>
      </c>
      <c r="D103" t="s">
        <v>480</v>
      </c>
      <c r="E103" t="s">
        <v>635</v>
      </c>
      <c r="F103">
        <v>66.069999999999993</v>
      </c>
      <c r="G103">
        <v>56.11</v>
      </c>
      <c r="H103" t="s">
        <v>461</v>
      </c>
    </row>
    <row r="104" spans="1:8" x14ac:dyDescent="0.25">
      <c r="A104" t="s">
        <v>63</v>
      </c>
      <c r="B104">
        <v>1</v>
      </c>
      <c r="C104" t="s">
        <v>630</v>
      </c>
      <c r="D104" t="s">
        <v>482</v>
      </c>
      <c r="E104" t="s">
        <v>636</v>
      </c>
      <c r="F104">
        <v>2</v>
      </c>
      <c r="G104">
        <v>3</v>
      </c>
      <c r="H104" t="s">
        <v>452</v>
      </c>
    </row>
    <row r="105" spans="1:8" x14ac:dyDescent="0.25">
      <c r="A105" t="s">
        <v>63</v>
      </c>
      <c r="B105">
        <v>1</v>
      </c>
      <c r="C105" t="s">
        <v>630</v>
      </c>
      <c r="D105" t="s">
        <v>484</v>
      </c>
      <c r="E105" t="s">
        <v>637</v>
      </c>
      <c r="F105">
        <v>3</v>
      </c>
      <c r="G105">
        <v>6</v>
      </c>
      <c r="H105" t="s">
        <v>461</v>
      </c>
    </row>
    <row r="106" spans="1:8" x14ac:dyDescent="0.25">
      <c r="A106" t="s">
        <v>63</v>
      </c>
      <c r="B106">
        <v>1</v>
      </c>
      <c r="C106" t="s">
        <v>630</v>
      </c>
      <c r="D106" t="s">
        <v>486</v>
      </c>
      <c r="E106" t="s">
        <v>638</v>
      </c>
      <c r="F106">
        <v>30</v>
      </c>
      <c r="G106">
        <v>0</v>
      </c>
      <c r="H106" t="s">
        <v>461</v>
      </c>
    </row>
    <row r="107" spans="1:8" ht="18" customHeight="1" x14ac:dyDescent="0.25">
      <c r="A107" t="s">
        <v>33</v>
      </c>
      <c r="B107" t="s">
        <v>448</v>
      </c>
      <c r="C107" t="s">
        <v>639</v>
      </c>
      <c r="D107" t="s">
        <v>450</v>
      </c>
      <c r="E107" t="s">
        <v>640</v>
      </c>
      <c r="F107">
        <v>39.07</v>
      </c>
      <c r="G107">
        <v>34.76</v>
      </c>
      <c r="H107" t="s">
        <v>461</v>
      </c>
    </row>
    <row r="108" spans="1:8" ht="18" customHeight="1" x14ac:dyDescent="0.25">
      <c r="A108" t="s">
        <v>33</v>
      </c>
      <c r="B108" t="s">
        <v>448</v>
      </c>
      <c r="C108" t="s">
        <v>639</v>
      </c>
      <c r="D108" t="s">
        <v>453</v>
      </c>
      <c r="E108" t="s">
        <v>641</v>
      </c>
      <c r="F108">
        <v>24.05</v>
      </c>
      <c r="G108">
        <v>11.93</v>
      </c>
      <c r="H108" t="s">
        <v>452</v>
      </c>
    </row>
    <row r="109" spans="1:8" ht="18" customHeight="1" x14ac:dyDescent="0.25">
      <c r="A109" t="s">
        <v>33</v>
      </c>
      <c r="B109" t="s">
        <v>457</v>
      </c>
      <c r="C109" t="s">
        <v>642</v>
      </c>
      <c r="D109" t="s">
        <v>459</v>
      </c>
      <c r="E109" t="s">
        <v>643</v>
      </c>
      <c r="F109">
        <v>75.599999999999994</v>
      </c>
      <c r="G109">
        <v>56.1</v>
      </c>
      <c r="H109" t="s">
        <v>461</v>
      </c>
    </row>
    <row r="110" spans="1:8" ht="18" customHeight="1" x14ac:dyDescent="0.25">
      <c r="A110" t="s">
        <v>33</v>
      </c>
      <c r="B110" t="s">
        <v>457</v>
      </c>
      <c r="C110" t="s">
        <v>642</v>
      </c>
      <c r="D110" t="s">
        <v>462</v>
      </c>
      <c r="E110" t="s">
        <v>644</v>
      </c>
      <c r="F110">
        <v>10.8</v>
      </c>
      <c r="G110">
        <v>4.9000000000000004</v>
      </c>
      <c r="H110" t="s">
        <v>452</v>
      </c>
    </row>
    <row r="111" spans="1:8" ht="18" customHeight="1" x14ac:dyDescent="0.25">
      <c r="A111" t="s">
        <v>33</v>
      </c>
      <c r="B111" t="s">
        <v>464</v>
      </c>
      <c r="C111" t="s">
        <v>645</v>
      </c>
      <c r="D111" t="s">
        <v>466</v>
      </c>
      <c r="E111" t="s">
        <v>646</v>
      </c>
      <c r="F111">
        <v>0</v>
      </c>
      <c r="G111">
        <v>11449</v>
      </c>
      <c r="H111" t="s">
        <v>461</v>
      </c>
    </row>
    <row r="112" spans="1:8" ht="18" customHeight="1" x14ac:dyDescent="0.25">
      <c r="A112" t="s">
        <v>33</v>
      </c>
      <c r="B112" t="s">
        <v>464</v>
      </c>
      <c r="C112" t="s">
        <v>645</v>
      </c>
      <c r="D112" t="s">
        <v>545</v>
      </c>
      <c r="E112" t="s">
        <v>647</v>
      </c>
      <c r="F112">
        <v>0</v>
      </c>
      <c r="G112">
        <v>3820</v>
      </c>
      <c r="H112" t="s">
        <v>452</v>
      </c>
    </row>
    <row r="113" spans="1:8" ht="18" customHeight="1" x14ac:dyDescent="0.25">
      <c r="A113" t="s">
        <v>33</v>
      </c>
      <c r="B113" t="s">
        <v>570</v>
      </c>
      <c r="C113" t="s">
        <v>648</v>
      </c>
      <c r="D113" t="s">
        <v>572</v>
      </c>
      <c r="E113" t="s">
        <v>649</v>
      </c>
      <c r="F113">
        <v>0</v>
      </c>
      <c r="G113">
        <v>1</v>
      </c>
      <c r="H113" t="s">
        <v>461</v>
      </c>
    </row>
  </sheetData>
  <autoFilter ref="A3:H113" xr:uid="{00000000-0009-0000-0000-000005000000}"/>
  <mergeCells count="1">
    <mergeCell ref="A1:H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79"/>
  <sheetViews>
    <sheetView showGridLines="0" workbookViewId="0">
      <pane ySplit="3" topLeftCell="A161" activePane="bottomLeft" state="frozen"/>
      <selection activeCell="A7" sqref="A7:H8"/>
      <selection pane="bottomLeft" activeCell="C169" sqref="C169"/>
    </sheetView>
  </sheetViews>
  <sheetFormatPr baseColWidth="10" defaultColWidth="9.140625" defaultRowHeight="15" x14ac:dyDescent="0.25"/>
  <cols>
    <col min="1" max="2" width="13" customWidth="1"/>
    <col min="3" max="3" width="65" customWidth="1"/>
  </cols>
  <sheetData>
    <row r="1" spans="1:3" ht="28.15" customHeight="1" x14ac:dyDescent="0.25">
      <c r="A1" s="89" t="s">
        <v>650</v>
      </c>
      <c r="B1" s="90"/>
      <c r="C1" s="90"/>
    </row>
    <row r="2" spans="1:3" ht="4.9000000000000004" customHeight="1" x14ac:dyDescent="0.25"/>
    <row r="3" spans="1:3" ht="22.15" customHeight="1" x14ac:dyDescent="0.25">
      <c r="A3" t="s">
        <v>246</v>
      </c>
      <c r="B3" t="s">
        <v>443</v>
      </c>
      <c r="C3" t="s">
        <v>651</v>
      </c>
    </row>
    <row r="4" spans="1:3" ht="18" customHeight="1" x14ac:dyDescent="0.25">
      <c r="A4" t="s">
        <v>14</v>
      </c>
      <c r="B4" t="s">
        <v>450</v>
      </c>
      <c r="C4" t="s">
        <v>376</v>
      </c>
    </row>
    <row r="5" spans="1:3" ht="18" customHeight="1" x14ac:dyDescent="0.25">
      <c r="A5" t="s">
        <v>14</v>
      </c>
      <c r="B5" t="s">
        <v>453</v>
      </c>
      <c r="C5" t="s">
        <v>376</v>
      </c>
    </row>
    <row r="6" spans="1:3" ht="18" customHeight="1" x14ac:dyDescent="0.25">
      <c r="A6" t="s">
        <v>14</v>
      </c>
      <c r="B6" t="s">
        <v>450</v>
      </c>
      <c r="C6" t="s">
        <v>378</v>
      </c>
    </row>
    <row r="7" spans="1:3" ht="18" customHeight="1" x14ac:dyDescent="0.25">
      <c r="A7" t="s">
        <v>14</v>
      </c>
      <c r="B7" t="s">
        <v>453</v>
      </c>
      <c r="C7" t="s">
        <v>378</v>
      </c>
    </row>
    <row r="8" spans="1:3" ht="18" customHeight="1" x14ac:dyDescent="0.25">
      <c r="A8" t="s">
        <v>14</v>
      </c>
      <c r="B8" t="s">
        <v>455</v>
      </c>
      <c r="C8" t="s">
        <v>378</v>
      </c>
    </row>
    <row r="9" spans="1:3" ht="18" customHeight="1" x14ac:dyDescent="0.25">
      <c r="A9" t="s">
        <v>14</v>
      </c>
      <c r="B9" t="s">
        <v>459</v>
      </c>
      <c r="C9" t="s">
        <v>379</v>
      </c>
    </row>
    <row r="10" spans="1:3" ht="18" customHeight="1" x14ac:dyDescent="0.25">
      <c r="A10" t="s">
        <v>14</v>
      </c>
      <c r="B10" t="s">
        <v>462</v>
      </c>
      <c r="C10" t="s">
        <v>379</v>
      </c>
    </row>
    <row r="11" spans="1:3" ht="18" customHeight="1" x14ac:dyDescent="0.25">
      <c r="A11" t="s">
        <v>14</v>
      </c>
      <c r="B11" t="s">
        <v>466</v>
      </c>
      <c r="C11" t="s">
        <v>377</v>
      </c>
    </row>
    <row r="12" spans="1:3" ht="18" customHeight="1" x14ac:dyDescent="0.25">
      <c r="A12" t="s">
        <v>24</v>
      </c>
      <c r="B12" t="s">
        <v>450</v>
      </c>
      <c r="C12" t="s">
        <v>288</v>
      </c>
    </row>
    <row r="13" spans="1:3" ht="18" customHeight="1" x14ac:dyDescent="0.25">
      <c r="A13" t="s">
        <v>24</v>
      </c>
      <c r="B13" t="s">
        <v>450</v>
      </c>
      <c r="C13" t="s">
        <v>271</v>
      </c>
    </row>
    <row r="14" spans="1:3" ht="18" customHeight="1" x14ac:dyDescent="0.25">
      <c r="A14" t="s">
        <v>24</v>
      </c>
      <c r="B14" t="s">
        <v>450</v>
      </c>
      <c r="C14" t="s">
        <v>275</v>
      </c>
    </row>
    <row r="15" spans="1:3" ht="18" customHeight="1" x14ac:dyDescent="0.25">
      <c r="A15" t="s">
        <v>24</v>
      </c>
      <c r="B15" t="s">
        <v>453</v>
      </c>
      <c r="C15" t="s">
        <v>286</v>
      </c>
    </row>
    <row r="16" spans="1:3" ht="18" customHeight="1" x14ac:dyDescent="0.25">
      <c r="A16" t="s">
        <v>24</v>
      </c>
      <c r="B16" t="s">
        <v>453</v>
      </c>
      <c r="C16" t="s">
        <v>277</v>
      </c>
    </row>
    <row r="17" spans="1:3" ht="18" customHeight="1" x14ac:dyDescent="0.25">
      <c r="A17" t="s">
        <v>24</v>
      </c>
      <c r="B17" t="s">
        <v>455</v>
      </c>
      <c r="C17" t="s">
        <v>281</v>
      </c>
    </row>
    <row r="18" spans="1:3" ht="18" customHeight="1" x14ac:dyDescent="0.25">
      <c r="A18" t="s">
        <v>24</v>
      </c>
      <c r="B18" t="s">
        <v>455</v>
      </c>
      <c r="C18" t="s">
        <v>284</v>
      </c>
    </row>
    <row r="19" spans="1:3" ht="18" customHeight="1" x14ac:dyDescent="0.25">
      <c r="A19" t="s">
        <v>24</v>
      </c>
      <c r="B19" t="s">
        <v>455</v>
      </c>
      <c r="C19" t="s">
        <v>286</v>
      </c>
    </row>
    <row r="20" spans="1:3" ht="18" customHeight="1" x14ac:dyDescent="0.25">
      <c r="A20" t="s">
        <v>24</v>
      </c>
      <c r="B20" t="s">
        <v>473</v>
      </c>
      <c r="C20" t="s">
        <v>288</v>
      </c>
    </row>
    <row r="21" spans="1:3" ht="18" customHeight="1" x14ac:dyDescent="0.25">
      <c r="A21" t="s">
        <v>24</v>
      </c>
      <c r="B21" t="s">
        <v>473</v>
      </c>
      <c r="C21" t="s">
        <v>271</v>
      </c>
    </row>
    <row r="22" spans="1:3" ht="18" customHeight="1" x14ac:dyDescent="0.25">
      <c r="A22" t="s">
        <v>24</v>
      </c>
      <c r="B22" t="s">
        <v>473</v>
      </c>
      <c r="C22" t="s">
        <v>275</v>
      </c>
    </row>
    <row r="23" spans="1:3" ht="18" customHeight="1" x14ac:dyDescent="0.25">
      <c r="A23" t="s">
        <v>6</v>
      </c>
      <c r="B23" t="s">
        <v>450</v>
      </c>
      <c r="C23" t="s">
        <v>342</v>
      </c>
    </row>
    <row r="24" spans="1:3" ht="18" customHeight="1" x14ac:dyDescent="0.25">
      <c r="A24" t="s">
        <v>6</v>
      </c>
      <c r="B24" t="s">
        <v>453</v>
      </c>
      <c r="C24" t="s">
        <v>342</v>
      </c>
    </row>
    <row r="25" spans="1:3" ht="18" customHeight="1" x14ac:dyDescent="0.25">
      <c r="A25" t="s">
        <v>6</v>
      </c>
      <c r="B25" t="s">
        <v>455</v>
      </c>
      <c r="C25" t="s">
        <v>342</v>
      </c>
    </row>
    <row r="26" spans="1:3" ht="18" customHeight="1" x14ac:dyDescent="0.25">
      <c r="A26" t="s">
        <v>6</v>
      </c>
      <c r="B26" t="s">
        <v>473</v>
      </c>
      <c r="C26" t="s">
        <v>342</v>
      </c>
    </row>
    <row r="27" spans="1:3" ht="18" customHeight="1" x14ac:dyDescent="0.25">
      <c r="A27" t="s">
        <v>6</v>
      </c>
      <c r="B27" t="s">
        <v>480</v>
      </c>
      <c r="C27" t="s">
        <v>342</v>
      </c>
    </row>
    <row r="28" spans="1:3" ht="18" customHeight="1" x14ac:dyDescent="0.25">
      <c r="A28" t="s">
        <v>6</v>
      </c>
      <c r="B28" t="s">
        <v>482</v>
      </c>
      <c r="C28" t="s">
        <v>342</v>
      </c>
    </row>
    <row r="29" spans="1:3" ht="18" customHeight="1" x14ac:dyDescent="0.25">
      <c r="A29" t="s">
        <v>6</v>
      </c>
      <c r="B29" t="s">
        <v>484</v>
      </c>
      <c r="C29" t="s">
        <v>346</v>
      </c>
    </row>
    <row r="30" spans="1:3" ht="18" customHeight="1" x14ac:dyDescent="0.25">
      <c r="A30" t="s">
        <v>6</v>
      </c>
      <c r="B30" t="s">
        <v>486</v>
      </c>
      <c r="C30" t="s">
        <v>346</v>
      </c>
    </row>
    <row r="31" spans="1:3" ht="18" customHeight="1" x14ac:dyDescent="0.25">
      <c r="A31" t="s">
        <v>6</v>
      </c>
      <c r="B31" t="s">
        <v>488</v>
      </c>
      <c r="C31" t="s">
        <v>346</v>
      </c>
    </row>
    <row r="32" spans="1:3" ht="18" customHeight="1" x14ac:dyDescent="0.25">
      <c r="A32" t="s">
        <v>6</v>
      </c>
      <c r="B32" t="s">
        <v>490</v>
      </c>
      <c r="C32" t="s">
        <v>346</v>
      </c>
    </row>
    <row r="33" spans="1:3" ht="18" customHeight="1" x14ac:dyDescent="0.25">
      <c r="A33" t="s">
        <v>6</v>
      </c>
      <c r="B33" t="s">
        <v>492</v>
      </c>
      <c r="C33" t="s">
        <v>346</v>
      </c>
    </row>
    <row r="34" spans="1:3" ht="18" customHeight="1" x14ac:dyDescent="0.25">
      <c r="A34" t="s">
        <v>6</v>
      </c>
      <c r="B34" t="s">
        <v>494</v>
      </c>
      <c r="C34" t="s">
        <v>346</v>
      </c>
    </row>
    <row r="35" spans="1:3" ht="18" customHeight="1" x14ac:dyDescent="0.25">
      <c r="A35" t="s">
        <v>6</v>
      </c>
      <c r="B35" t="s">
        <v>496</v>
      </c>
      <c r="C35" t="s">
        <v>349</v>
      </c>
    </row>
    <row r="36" spans="1:3" ht="18" customHeight="1" x14ac:dyDescent="0.25">
      <c r="A36" t="s">
        <v>6</v>
      </c>
      <c r="B36" t="s">
        <v>498</v>
      </c>
      <c r="C36" t="s">
        <v>349</v>
      </c>
    </row>
    <row r="37" spans="1:3" ht="18" customHeight="1" x14ac:dyDescent="0.25">
      <c r="A37" t="s">
        <v>6</v>
      </c>
      <c r="B37" t="s">
        <v>500</v>
      </c>
      <c r="C37" t="s">
        <v>349</v>
      </c>
    </row>
    <row r="38" spans="1:3" ht="18" customHeight="1" x14ac:dyDescent="0.25">
      <c r="A38" t="s">
        <v>6</v>
      </c>
      <c r="B38" t="s">
        <v>502</v>
      </c>
      <c r="C38" t="s">
        <v>349</v>
      </c>
    </row>
    <row r="39" spans="1:3" ht="18" customHeight="1" x14ac:dyDescent="0.25">
      <c r="A39" t="s">
        <v>6</v>
      </c>
      <c r="B39" t="s">
        <v>504</v>
      </c>
      <c r="C39" t="s">
        <v>349</v>
      </c>
    </row>
    <row r="40" spans="1:3" ht="18" customHeight="1" x14ac:dyDescent="0.25">
      <c r="A40" t="s">
        <v>6</v>
      </c>
      <c r="B40" t="s">
        <v>506</v>
      </c>
      <c r="C40" t="s">
        <v>349</v>
      </c>
    </row>
    <row r="41" spans="1:3" ht="18" customHeight="1" x14ac:dyDescent="0.25">
      <c r="A41" t="s">
        <v>6</v>
      </c>
      <c r="B41" t="s">
        <v>459</v>
      </c>
      <c r="C41" t="s">
        <v>342</v>
      </c>
    </row>
    <row r="42" spans="1:3" ht="18" customHeight="1" x14ac:dyDescent="0.25">
      <c r="A42" t="s">
        <v>6</v>
      </c>
      <c r="B42" t="s">
        <v>462</v>
      </c>
      <c r="C42" t="s">
        <v>342</v>
      </c>
    </row>
    <row r="43" spans="1:3" ht="18" customHeight="1" x14ac:dyDescent="0.25">
      <c r="A43" t="s">
        <v>6</v>
      </c>
      <c r="B43" t="s">
        <v>511</v>
      </c>
      <c r="C43" t="s">
        <v>342</v>
      </c>
    </row>
    <row r="44" spans="1:3" ht="18" customHeight="1" x14ac:dyDescent="0.25">
      <c r="A44" t="s">
        <v>6</v>
      </c>
      <c r="B44" t="s">
        <v>513</v>
      </c>
      <c r="C44" t="s">
        <v>342</v>
      </c>
    </row>
    <row r="45" spans="1:3" ht="18" customHeight="1" x14ac:dyDescent="0.25">
      <c r="A45" t="s">
        <v>6</v>
      </c>
      <c r="B45" t="s">
        <v>515</v>
      </c>
      <c r="C45" t="s">
        <v>342</v>
      </c>
    </row>
    <row r="46" spans="1:3" ht="18" customHeight="1" x14ac:dyDescent="0.25">
      <c r="A46" t="s">
        <v>6</v>
      </c>
      <c r="B46" t="s">
        <v>517</v>
      </c>
      <c r="C46" t="s">
        <v>342</v>
      </c>
    </row>
    <row r="47" spans="1:3" ht="18" customHeight="1" x14ac:dyDescent="0.25">
      <c r="A47" t="s">
        <v>6</v>
      </c>
      <c r="B47" t="s">
        <v>519</v>
      </c>
      <c r="C47" t="s">
        <v>346</v>
      </c>
    </row>
    <row r="48" spans="1:3" ht="18" customHeight="1" x14ac:dyDescent="0.25">
      <c r="A48" t="s">
        <v>6</v>
      </c>
      <c r="B48" t="s">
        <v>521</v>
      </c>
      <c r="C48" t="s">
        <v>346</v>
      </c>
    </row>
    <row r="49" spans="1:3" ht="18" customHeight="1" x14ac:dyDescent="0.25">
      <c r="A49" t="s">
        <v>6</v>
      </c>
      <c r="B49" t="s">
        <v>523</v>
      </c>
      <c r="C49" t="s">
        <v>346</v>
      </c>
    </row>
    <row r="50" spans="1:3" ht="18" customHeight="1" x14ac:dyDescent="0.25">
      <c r="A50" t="s">
        <v>6</v>
      </c>
      <c r="B50" t="s">
        <v>525</v>
      </c>
      <c r="C50" t="s">
        <v>346</v>
      </c>
    </row>
    <row r="51" spans="1:3" ht="18" customHeight="1" x14ac:dyDescent="0.25">
      <c r="A51" t="s">
        <v>6</v>
      </c>
      <c r="B51" t="s">
        <v>527</v>
      </c>
      <c r="C51" t="s">
        <v>346</v>
      </c>
    </row>
    <row r="52" spans="1:3" ht="18" customHeight="1" x14ac:dyDescent="0.25">
      <c r="A52" t="s">
        <v>6</v>
      </c>
      <c r="B52" t="s">
        <v>529</v>
      </c>
      <c r="C52" t="s">
        <v>346</v>
      </c>
    </row>
    <row r="53" spans="1:3" ht="18" customHeight="1" x14ac:dyDescent="0.25">
      <c r="A53" t="s">
        <v>6</v>
      </c>
      <c r="B53" t="s">
        <v>531</v>
      </c>
      <c r="C53" t="s">
        <v>349</v>
      </c>
    </row>
    <row r="54" spans="1:3" ht="18" customHeight="1" x14ac:dyDescent="0.25">
      <c r="A54" t="s">
        <v>6</v>
      </c>
      <c r="B54" t="s">
        <v>533</v>
      </c>
      <c r="C54" t="s">
        <v>349</v>
      </c>
    </row>
    <row r="55" spans="1:3" ht="18" customHeight="1" x14ac:dyDescent="0.25">
      <c r="A55" t="s">
        <v>6</v>
      </c>
      <c r="B55" t="s">
        <v>535</v>
      </c>
      <c r="C55" t="s">
        <v>349</v>
      </c>
    </row>
    <row r="56" spans="1:3" ht="18" customHeight="1" x14ac:dyDescent="0.25">
      <c r="A56" t="s">
        <v>6</v>
      </c>
      <c r="B56" t="s">
        <v>537</v>
      </c>
      <c r="C56" t="s">
        <v>349</v>
      </c>
    </row>
    <row r="57" spans="1:3" ht="18" customHeight="1" x14ac:dyDescent="0.25">
      <c r="A57" t="s">
        <v>6</v>
      </c>
      <c r="B57" t="s">
        <v>539</v>
      </c>
      <c r="C57" t="s">
        <v>349</v>
      </c>
    </row>
    <row r="58" spans="1:3" ht="18" customHeight="1" x14ac:dyDescent="0.25">
      <c r="A58" t="s">
        <v>6</v>
      </c>
      <c r="B58" t="s">
        <v>541</v>
      </c>
      <c r="C58" t="s">
        <v>349</v>
      </c>
    </row>
    <row r="59" spans="1:3" ht="18" customHeight="1" x14ac:dyDescent="0.25">
      <c r="A59" t="s">
        <v>6</v>
      </c>
      <c r="B59" t="s">
        <v>466</v>
      </c>
      <c r="C59" t="s">
        <v>349</v>
      </c>
    </row>
    <row r="60" spans="1:3" ht="18" customHeight="1" x14ac:dyDescent="0.25">
      <c r="A60" t="s">
        <v>6</v>
      </c>
      <c r="B60" t="s">
        <v>545</v>
      </c>
      <c r="C60" t="s">
        <v>342</v>
      </c>
    </row>
    <row r="61" spans="1:3" ht="18" customHeight="1" x14ac:dyDescent="0.25">
      <c r="A61" t="s">
        <v>6</v>
      </c>
      <c r="B61" t="s">
        <v>547</v>
      </c>
      <c r="C61" t="s">
        <v>346</v>
      </c>
    </row>
    <row r="62" spans="1:3" ht="18" customHeight="1" x14ac:dyDescent="0.25">
      <c r="A62" t="s">
        <v>6</v>
      </c>
      <c r="B62" t="s">
        <v>549</v>
      </c>
      <c r="C62" t="s">
        <v>353</v>
      </c>
    </row>
    <row r="63" spans="1:3" ht="18" customHeight="1" x14ac:dyDescent="0.25">
      <c r="A63" t="s">
        <v>6</v>
      </c>
      <c r="B63" t="s">
        <v>553</v>
      </c>
      <c r="C63" t="s">
        <v>355</v>
      </c>
    </row>
    <row r="64" spans="1:3" ht="18" customHeight="1" x14ac:dyDescent="0.25">
      <c r="A64" t="s">
        <v>6</v>
      </c>
      <c r="B64" t="s">
        <v>556</v>
      </c>
      <c r="C64" t="s">
        <v>355</v>
      </c>
    </row>
    <row r="65" spans="1:3" ht="18" customHeight="1" x14ac:dyDescent="0.25">
      <c r="A65" t="s">
        <v>6</v>
      </c>
      <c r="B65" t="s">
        <v>560</v>
      </c>
      <c r="C65" t="s">
        <v>355</v>
      </c>
    </row>
    <row r="66" spans="1:3" ht="18" customHeight="1" x14ac:dyDescent="0.25">
      <c r="A66" t="s">
        <v>18</v>
      </c>
      <c r="B66" t="s">
        <v>450</v>
      </c>
      <c r="C66" t="s">
        <v>315</v>
      </c>
    </row>
    <row r="67" spans="1:3" ht="18" customHeight="1" x14ac:dyDescent="0.25">
      <c r="A67" t="s">
        <v>18</v>
      </c>
      <c r="B67" t="s">
        <v>459</v>
      </c>
      <c r="C67" t="s">
        <v>315</v>
      </c>
    </row>
    <row r="68" spans="1:3" ht="18" customHeight="1" x14ac:dyDescent="0.25">
      <c r="A68" t="s">
        <v>18</v>
      </c>
      <c r="B68" t="s">
        <v>466</v>
      </c>
      <c r="C68" t="s">
        <v>315</v>
      </c>
    </row>
    <row r="69" spans="1:3" ht="18" customHeight="1" x14ac:dyDescent="0.25">
      <c r="A69" t="s">
        <v>18</v>
      </c>
      <c r="B69" t="s">
        <v>572</v>
      </c>
      <c r="C69" t="s">
        <v>315</v>
      </c>
    </row>
    <row r="70" spans="1:3" ht="18" customHeight="1" x14ac:dyDescent="0.25">
      <c r="A70" t="s">
        <v>18</v>
      </c>
      <c r="B70" t="s">
        <v>572</v>
      </c>
      <c r="C70" t="s">
        <v>312</v>
      </c>
    </row>
    <row r="71" spans="1:3" ht="18" customHeight="1" x14ac:dyDescent="0.25">
      <c r="A71" t="s">
        <v>18</v>
      </c>
      <c r="B71" t="s">
        <v>576</v>
      </c>
      <c r="C71" t="s">
        <v>315</v>
      </c>
    </row>
    <row r="72" spans="1:3" ht="18" customHeight="1" x14ac:dyDescent="0.25">
      <c r="A72" t="s">
        <v>18</v>
      </c>
      <c r="B72" t="s">
        <v>580</v>
      </c>
      <c r="C72" t="s">
        <v>311</v>
      </c>
    </row>
    <row r="73" spans="1:3" ht="18" customHeight="1" x14ac:dyDescent="0.25">
      <c r="A73" t="s">
        <v>18</v>
      </c>
      <c r="B73" t="s">
        <v>450</v>
      </c>
      <c r="C73" t="s">
        <v>315</v>
      </c>
    </row>
    <row r="74" spans="1:3" ht="18" customHeight="1" x14ac:dyDescent="0.25">
      <c r="A74" t="s">
        <v>18</v>
      </c>
      <c r="B74" t="s">
        <v>459</v>
      </c>
      <c r="C74" t="s">
        <v>315</v>
      </c>
    </row>
    <row r="75" spans="1:3" ht="18" customHeight="1" x14ac:dyDescent="0.25">
      <c r="A75" t="s">
        <v>18</v>
      </c>
      <c r="B75" t="s">
        <v>466</v>
      </c>
      <c r="C75" t="s">
        <v>315</v>
      </c>
    </row>
    <row r="76" spans="1:3" ht="18" customHeight="1" x14ac:dyDescent="0.25">
      <c r="A76" t="s">
        <v>18</v>
      </c>
      <c r="B76" t="s">
        <v>572</v>
      </c>
      <c r="C76" t="s">
        <v>315</v>
      </c>
    </row>
    <row r="77" spans="1:3" ht="18" customHeight="1" x14ac:dyDescent="0.25">
      <c r="A77" t="s">
        <v>18</v>
      </c>
      <c r="B77" t="s">
        <v>572</v>
      </c>
      <c r="C77" t="s">
        <v>312</v>
      </c>
    </row>
    <row r="78" spans="1:3" ht="18" customHeight="1" x14ac:dyDescent="0.25">
      <c r="A78" t="s">
        <v>18</v>
      </c>
      <c r="B78" t="s">
        <v>576</v>
      </c>
      <c r="C78" t="s">
        <v>305</v>
      </c>
    </row>
    <row r="79" spans="1:3" ht="18" customHeight="1" x14ac:dyDescent="0.25">
      <c r="A79" t="s">
        <v>18</v>
      </c>
      <c r="B79" t="s">
        <v>576</v>
      </c>
      <c r="C79" t="s">
        <v>307</v>
      </c>
    </row>
    <row r="80" spans="1:3" ht="18" customHeight="1" x14ac:dyDescent="0.25">
      <c r="A80" t="s">
        <v>18</v>
      </c>
      <c r="B80" t="s">
        <v>576</v>
      </c>
      <c r="C80" t="s">
        <v>308</v>
      </c>
    </row>
    <row r="81" spans="1:3" ht="18" customHeight="1" x14ac:dyDescent="0.25">
      <c r="A81" t="s">
        <v>18</v>
      </c>
      <c r="B81" t="s">
        <v>576</v>
      </c>
      <c r="C81" t="s">
        <v>309</v>
      </c>
    </row>
    <row r="82" spans="1:3" ht="18" customHeight="1" x14ac:dyDescent="0.25">
      <c r="A82" t="s">
        <v>18</v>
      </c>
      <c r="B82" t="s">
        <v>576</v>
      </c>
      <c r="C82" t="s">
        <v>310</v>
      </c>
    </row>
    <row r="83" spans="1:3" ht="18" customHeight="1" x14ac:dyDescent="0.25">
      <c r="A83" t="s">
        <v>18</v>
      </c>
      <c r="B83" t="s">
        <v>580</v>
      </c>
      <c r="C83" t="s">
        <v>311</v>
      </c>
    </row>
    <row r="84" spans="1:3" ht="18" customHeight="1" x14ac:dyDescent="0.25">
      <c r="A84" t="s">
        <v>29</v>
      </c>
      <c r="B84" t="s">
        <v>450</v>
      </c>
      <c r="C84" t="s">
        <v>652</v>
      </c>
    </row>
    <row r="85" spans="1:3" ht="18" customHeight="1" x14ac:dyDescent="0.25">
      <c r="A85" t="s">
        <v>29</v>
      </c>
      <c r="B85" t="s">
        <v>450</v>
      </c>
      <c r="C85" t="s">
        <v>255</v>
      </c>
    </row>
    <row r="86" spans="1:3" ht="18" customHeight="1" x14ac:dyDescent="0.25">
      <c r="A86" t="s">
        <v>29</v>
      </c>
      <c r="B86" t="s">
        <v>450</v>
      </c>
      <c r="C86" t="s">
        <v>257</v>
      </c>
    </row>
    <row r="87" spans="1:3" ht="18" customHeight="1" x14ac:dyDescent="0.25">
      <c r="A87" t="s">
        <v>29</v>
      </c>
      <c r="B87" t="s">
        <v>450</v>
      </c>
      <c r="C87" t="s">
        <v>260</v>
      </c>
    </row>
    <row r="88" spans="1:3" ht="18" customHeight="1" x14ac:dyDescent="0.25">
      <c r="A88" t="s">
        <v>29</v>
      </c>
      <c r="B88" t="s">
        <v>453</v>
      </c>
      <c r="C88" t="s">
        <v>652</v>
      </c>
    </row>
    <row r="89" spans="1:3" ht="18" customHeight="1" x14ac:dyDescent="0.25">
      <c r="A89" t="s">
        <v>29</v>
      </c>
      <c r="B89" t="s">
        <v>453</v>
      </c>
      <c r="C89" t="s">
        <v>255</v>
      </c>
    </row>
    <row r="90" spans="1:3" ht="18" customHeight="1" x14ac:dyDescent="0.25">
      <c r="A90" t="s">
        <v>29</v>
      </c>
      <c r="B90" t="s">
        <v>453</v>
      </c>
      <c r="C90" t="s">
        <v>257</v>
      </c>
    </row>
    <row r="91" spans="1:3" ht="18" customHeight="1" x14ac:dyDescent="0.25">
      <c r="A91" t="s">
        <v>29</v>
      </c>
      <c r="B91" t="s">
        <v>453</v>
      </c>
      <c r="C91" t="s">
        <v>260</v>
      </c>
    </row>
    <row r="92" spans="1:3" ht="18" customHeight="1" x14ac:dyDescent="0.25">
      <c r="A92" t="s">
        <v>29</v>
      </c>
      <c r="B92" t="s">
        <v>459</v>
      </c>
      <c r="C92" t="s">
        <v>263</v>
      </c>
    </row>
    <row r="93" spans="1:3" ht="18" customHeight="1" x14ac:dyDescent="0.25">
      <c r="A93" t="s">
        <v>29</v>
      </c>
      <c r="B93" t="s">
        <v>459</v>
      </c>
      <c r="C93" t="s">
        <v>265</v>
      </c>
    </row>
    <row r="94" spans="1:3" ht="18" customHeight="1" x14ac:dyDescent="0.25">
      <c r="A94" t="s">
        <v>29</v>
      </c>
      <c r="B94" t="s">
        <v>459</v>
      </c>
      <c r="C94" t="s">
        <v>266</v>
      </c>
    </row>
    <row r="95" spans="1:3" ht="18" customHeight="1" x14ac:dyDescent="0.25">
      <c r="A95" t="s">
        <v>29</v>
      </c>
      <c r="B95" t="s">
        <v>459</v>
      </c>
      <c r="C95" t="s">
        <v>653</v>
      </c>
    </row>
    <row r="96" spans="1:3" ht="18" customHeight="1" x14ac:dyDescent="0.25">
      <c r="A96" t="s">
        <v>29</v>
      </c>
      <c r="B96" t="s">
        <v>462</v>
      </c>
      <c r="C96" t="s">
        <v>263</v>
      </c>
    </row>
    <row r="97" spans="1:3" ht="18" customHeight="1" x14ac:dyDescent="0.25">
      <c r="A97" t="s">
        <v>29</v>
      </c>
      <c r="B97" t="s">
        <v>462</v>
      </c>
      <c r="C97" t="s">
        <v>265</v>
      </c>
    </row>
    <row r="98" spans="1:3" ht="18" customHeight="1" x14ac:dyDescent="0.25">
      <c r="A98" t="s">
        <v>29</v>
      </c>
      <c r="B98" t="s">
        <v>462</v>
      </c>
      <c r="C98" t="s">
        <v>266</v>
      </c>
    </row>
    <row r="99" spans="1:3" ht="18" customHeight="1" x14ac:dyDescent="0.25">
      <c r="A99" t="s">
        <v>29</v>
      </c>
      <c r="B99" t="s">
        <v>462</v>
      </c>
      <c r="C99" t="s">
        <v>653</v>
      </c>
    </row>
    <row r="100" spans="1:3" x14ac:dyDescent="0.25">
      <c r="A100" t="s">
        <v>21</v>
      </c>
      <c r="B100" t="s">
        <v>450</v>
      </c>
      <c r="C100" t="s">
        <v>368</v>
      </c>
    </row>
    <row r="101" spans="1:3" x14ac:dyDescent="0.25">
      <c r="A101" t="s">
        <v>21</v>
      </c>
      <c r="B101" t="s">
        <v>453</v>
      </c>
      <c r="C101" t="s">
        <v>369</v>
      </c>
    </row>
    <row r="102" spans="1:3" x14ac:dyDescent="0.25">
      <c r="A102" t="s">
        <v>21</v>
      </c>
      <c r="B102" t="s">
        <v>455</v>
      </c>
      <c r="C102" t="s">
        <v>369</v>
      </c>
    </row>
    <row r="103" spans="1:3" x14ac:dyDescent="0.25">
      <c r="A103" t="s">
        <v>21</v>
      </c>
      <c r="B103" t="s">
        <v>459</v>
      </c>
      <c r="C103" t="s">
        <v>366</v>
      </c>
    </row>
    <row r="104" spans="1:3" x14ac:dyDescent="0.25">
      <c r="A104" t="s">
        <v>21</v>
      </c>
      <c r="B104" t="s">
        <v>459</v>
      </c>
      <c r="C104" t="s">
        <v>367</v>
      </c>
    </row>
    <row r="105" spans="1:3" x14ac:dyDescent="0.25">
      <c r="A105" t="s">
        <v>21</v>
      </c>
      <c r="B105" t="s">
        <v>462</v>
      </c>
      <c r="C105" t="s">
        <v>359</v>
      </c>
    </row>
    <row r="106" spans="1:3" x14ac:dyDescent="0.25">
      <c r="A106" t="s">
        <v>21</v>
      </c>
      <c r="B106" t="s">
        <v>511</v>
      </c>
      <c r="C106" t="s">
        <v>364</v>
      </c>
    </row>
    <row r="107" spans="1:3" x14ac:dyDescent="0.25">
      <c r="A107" t="s">
        <v>21</v>
      </c>
      <c r="B107" t="s">
        <v>513</v>
      </c>
      <c r="C107" t="s">
        <v>357</v>
      </c>
    </row>
    <row r="108" spans="1:3" x14ac:dyDescent="0.25">
      <c r="A108" t="s">
        <v>21</v>
      </c>
      <c r="B108" t="s">
        <v>515</v>
      </c>
      <c r="C108" t="s">
        <v>360</v>
      </c>
    </row>
    <row r="109" spans="1:3" x14ac:dyDescent="0.25">
      <c r="A109" t="s">
        <v>21</v>
      </c>
      <c r="B109" t="s">
        <v>517</v>
      </c>
      <c r="C109" t="s">
        <v>358</v>
      </c>
    </row>
    <row r="110" spans="1:3" x14ac:dyDescent="0.25">
      <c r="A110" t="s">
        <v>21</v>
      </c>
      <c r="B110" t="s">
        <v>466</v>
      </c>
      <c r="C110" t="s">
        <v>361</v>
      </c>
    </row>
    <row r="111" spans="1:3" x14ac:dyDescent="0.25">
      <c r="A111" t="s">
        <v>21</v>
      </c>
      <c r="B111" t="s">
        <v>545</v>
      </c>
      <c r="C111" t="s">
        <v>362</v>
      </c>
    </row>
    <row r="112" spans="1:3" x14ac:dyDescent="0.25">
      <c r="A112" t="s">
        <v>21</v>
      </c>
      <c r="B112" t="s">
        <v>547</v>
      </c>
      <c r="C112" t="s">
        <v>365</v>
      </c>
    </row>
    <row r="113" spans="1:3" x14ac:dyDescent="0.25">
      <c r="A113" t="s">
        <v>21</v>
      </c>
      <c r="B113" t="s">
        <v>547</v>
      </c>
      <c r="C113" t="s">
        <v>363</v>
      </c>
    </row>
    <row r="114" spans="1:3" x14ac:dyDescent="0.25">
      <c r="A114" t="s">
        <v>69</v>
      </c>
      <c r="B114" t="s">
        <v>455</v>
      </c>
      <c r="C114" t="s">
        <v>374</v>
      </c>
    </row>
    <row r="115" spans="1:3" x14ac:dyDescent="0.25">
      <c r="A115" t="s">
        <v>69</v>
      </c>
      <c r="B115" t="s">
        <v>473</v>
      </c>
      <c r="C115" t="s">
        <v>374</v>
      </c>
    </row>
    <row r="116" spans="1:3" x14ac:dyDescent="0.25">
      <c r="A116" t="s">
        <v>69</v>
      </c>
      <c r="B116" t="s">
        <v>576</v>
      </c>
      <c r="C116" t="s">
        <v>374</v>
      </c>
    </row>
    <row r="117" spans="1:3" x14ac:dyDescent="0.25">
      <c r="A117" t="s">
        <v>69</v>
      </c>
      <c r="B117" t="s">
        <v>580</v>
      </c>
      <c r="C117" t="s">
        <v>374</v>
      </c>
    </row>
    <row r="118" spans="1:3" x14ac:dyDescent="0.25">
      <c r="A118" t="s">
        <v>69</v>
      </c>
      <c r="B118" t="s">
        <v>450</v>
      </c>
      <c r="C118" t="s">
        <v>371</v>
      </c>
    </row>
    <row r="119" spans="1:3" x14ac:dyDescent="0.25">
      <c r="A119" t="s">
        <v>69</v>
      </c>
      <c r="B119" t="s">
        <v>455</v>
      </c>
      <c r="C119" t="s">
        <v>371</v>
      </c>
    </row>
    <row r="120" spans="1:3" x14ac:dyDescent="0.25">
      <c r="A120" t="s">
        <v>69</v>
      </c>
      <c r="B120" t="s">
        <v>473</v>
      </c>
      <c r="C120" t="s">
        <v>371</v>
      </c>
    </row>
    <row r="121" spans="1:3" x14ac:dyDescent="0.25">
      <c r="A121" t="s">
        <v>69</v>
      </c>
      <c r="B121" t="s">
        <v>612</v>
      </c>
      <c r="C121" t="s">
        <v>371</v>
      </c>
    </row>
    <row r="122" spans="1:3" x14ac:dyDescent="0.25">
      <c r="A122" t="s">
        <v>69</v>
      </c>
      <c r="B122" t="s">
        <v>455</v>
      </c>
      <c r="C122" t="s">
        <v>375</v>
      </c>
    </row>
    <row r="123" spans="1:3" x14ac:dyDescent="0.25">
      <c r="A123" t="s">
        <v>69</v>
      </c>
      <c r="B123" t="s">
        <v>473</v>
      </c>
      <c r="C123" t="s">
        <v>375</v>
      </c>
    </row>
    <row r="124" spans="1:3" x14ac:dyDescent="0.25">
      <c r="A124" t="s">
        <v>69</v>
      </c>
      <c r="B124" t="s">
        <v>614</v>
      </c>
      <c r="C124" t="s">
        <v>375</v>
      </c>
    </row>
    <row r="125" spans="1:3" x14ac:dyDescent="0.25">
      <c r="A125" t="s">
        <v>69</v>
      </c>
      <c r="B125" t="s">
        <v>616</v>
      </c>
      <c r="C125" t="s">
        <v>375</v>
      </c>
    </row>
    <row r="126" spans="1:3" x14ac:dyDescent="0.25">
      <c r="A126" t="s">
        <v>69</v>
      </c>
      <c r="B126" t="s">
        <v>453</v>
      </c>
      <c r="C126" t="s">
        <v>372</v>
      </c>
    </row>
    <row r="127" spans="1:3" x14ac:dyDescent="0.25">
      <c r="A127" t="s">
        <v>69</v>
      </c>
      <c r="B127" t="s">
        <v>473</v>
      </c>
      <c r="C127" t="s">
        <v>372</v>
      </c>
    </row>
    <row r="128" spans="1:3" x14ac:dyDescent="0.25">
      <c r="A128" t="s">
        <v>69</v>
      </c>
      <c r="B128" t="s">
        <v>620</v>
      </c>
      <c r="C128" t="s">
        <v>372</v>
      </c>
    </row>
    <row r="129" spans="1:3" x14ac:dyDescent="0.25">
      <c r="A129" t="s">
        <v>69</v>
      </c>
      <c r="B129" t="s">
        <v>622</v>
      </c>
      <c r="C129" t="s">
        <v>372</v>
      </c>
    </row>
    <row r="130" spans="1:3" x14ac:dyDescent="0.25">
      <c r="A130" t="s">
        <v>69</v>
      </c>
      <c r="B130" t="s">
        <v>453</v>
      </c>
      <c r="C130" t="s">
        <v>373</v>
      </c>
    </row>
    <row r="131" spans="1:3" x14ac:dyDescent="0.25">
      <c r="A131" t="s">
        <v>69</v>
      </c>
      <c r="B131" t="s">
        <v>624</v>
      </c>
      <c r="C131" t="s">
        <v>373</v>
      </c>
    </row>
    <row r="132" spans="1:3" x14ac:dyDescent="0.25">
      <c r="A132" t="s">
        <v>69</v>
      </c>
      <c r="B132" t="s">
        <v>626</v>
      </c>
      <c r="C132" t="s">
        <v>373</v>
      </c>
    </row>
    <row r="133" spans="1:3" x14ac:dyDescent="0.25">
      <c r="A133" t="s">
        <v>69</v>
      </c>
      <c r="B133" t="s">
        <v>473</v>
      </c>
      <c r="C133" t="s">
        <v>370</v>
      </c>
    </row>
    <row r="134" spans="1:3" x14ac:dyDescent="0.25">
      <c r="A134" t="s">
        <v>69</v>
      </c>
      <c r="B134" t="s">
        <v>580</v>
      </c>
      <c r="C134" t="s">
        <v>370</v>
      </c>
    </row>
    <row r="135" spans="1:3" x14ac:dyDescent="0.25">
      <c r="A135" t="s">
        <v>69</v>
      </c>
      <c r="B135" t="s">
        <v>628</v>
      </c>
      <c r="C135" t="s">
        <v>370</v>
      </c>
    </row>
    <row r="136" spans="1:3" x14ac:dyDescent="0.25">
      <c r="A136" t="s">
        <v>63</v>
      </c>
      <c r="B136" t="s">
        <v>450</v>
      </c>
      <c r="C136" t="s">
        <v>654</v>
      </c>
    </row>
    <row r="137" spans="1:3" x14ac:dyDescent="0.25">
      <c r="A137" t="s">
        <v>63</v>
      </c>
      <c r="B137" t="s">
        <v>453</v>
      </c>
      <c r="C137" t="s">
        <v>654</v>
      </c>
    </row>
    <row r="138" spans="1:3" x14ac:dyDescent="0.25">
      <c r="A138" t="s">
        <v>63</v>
      </c>
      <c r="B138" t="s">
        <v>455</v>
      </c>
      <c r="C138" t="s">
        <v>654</v>
      </c>
    </row>
    <row r="139" spans="1:3" x14ac:dyDescent="0.25">
      <c r="A139" t="s">
        <v>63</v>
      </c>
      <c r="B139" t="s">
        <v>473</v>
      </c>
      <c r="C139" t="s">
        <v>654</v>
      </c>
    </row>
    <row r="140" spans="1:3" x14ac:dyDescent="0.25">
      <c r="A140" t="s">
        <v>63</v>
      </c>
      <c r="B140" t="s">
        <v>480</v>
      </c>
      <c r="C140" t="s">
        <v>654</v>
      </c>
    </row>
    <row r="141" spans="1:3" x14ac:dyDescent="0.25">
      <c r="A141" t="s">
        <v>63</v>
      </c>
      <c r="B141" t="s">
        <v>482</v>
      </c>
      <c r="C141" t="s">
        <v>654</v>
      </c>
    </row>
    <row r="142" spans="1:3" x14ac:dyDescent="0.25">
      <c r="A142" t="s">
        <v>63</v>
      </c>
      <c r="B142" t="s">
        <v>486</v>
      </c>
      <c r="C142" t="s">
        <v>654</v>
      </c>
    </row>
    <row r="143" spans="1:3" x14ac:dyDescent="0.25">
      <c r="A143" t="s">
        <v>63</v>
      </c>
      <c r="B143" t="s">
        <v>450</v>
      </c>
      <c r="C143" t="s">
        <v>655</v>
      </c>
    </row>
    <row r="144" spans="1:3" x14ac:dyDescent="0.25">
      <c r="A144" t="s">
        <v>63</v>
      </c>
      <c r="B144" t="s">
        <v>453</v>
      </c>
      <c r="C144" t="s">
        <v>655</v>
      </c>
    </row>
    <row r="145" spans="1:3" x14ac:dyDescent="0.25">
      <c r="A145" t="s">
        <v>63</v>
      </c>
      <c r="B145" t="s">
        <v>455</v>
      </c>
      <c r="C145" t="s">
        <v>655</v>
      </c>
    </row>
    <row r="146" spans="1:3" x14ac:dyDescent="0.25">
      <c r="A146" t="s">
        <v>63</v>
      </c>
      <c r="B146" t="s">
        <v>473</v>
      </c>
      <c r="C146" t="s">
        <v>655</v>
      </c>
    </row>
    <row r="147" spans="1:3" x14ac:dyDescent="0.25">
      <c r="A147" t="s">
        <v>63</v>
      </c>
      <c r="B147" t="s">
        <v>480</v>
      </c>
      <c r="C147" t="s">
        <v>655</v>
      </c>
    </row>
    <row r="148" spans="1:3" x14ac:dyDescent="0.25">
      <c r="A148" t="s">
        <v>63</v>
      </c>
      <c r="B148" t="s">
        <v>486</v>
      </c>
      <c r="C148" t="s">
        <v>655</v>
      </c>
    </row>
    <row r="149" spans="1:3" x14ac:dyDescent="0.25">
      <c r="A149" t="s">
        <v>63</v>
      </c>
      <c r="B149" t="s">
        <v>450</v>
      </c>
      <c r="C149" t="s">
        <v>295</v>
      </c>
    </row>
    <row r="150" spans="1:3" x14ac:dyDescent="0.25">
      <c r="A150" t="s">
        <v>63</v>
      </c>
      <c r="B150" t="s">
        <v>453</v>
      </c>
      <c r="C150" t="s">
        <v>295</v>
      </c>
    </row>
    <row r="151" spans="1:3" x14ac:dyDescent="0.25">
      <c r="A151" t="s">
        <v>63</v>
      </c>
      <c r="B151" t="s">
        <v>455</v>
      </c>
      <c r="C151" t="s">
        <v>295</v>
      </c>
    </row>
    <row r="152" spans="1:3" x14ac:dyDescent="0.25">
      <c r="A152" t="s">
        <v>63</v>
      </c>
      <c r="B152" t="s">
        <v>482</v>
      </c>
      <c r="C152" t="s">
        <v>295</v>
      </c>
    </row>
    <row r="153" spans="1:3" x14ac:dyDescent="0.25">
      <c r="A153" t="s">
        <v>63</v>
      </c>
      <c r="B153" t="s">
        <v>450</v>
      </c>
      <c r="C153" t="s">
        <v>656</v>
      </c>
    </row>
    <row r="154" spans="1:3" x14ac:dyDescent="0.25">
      <c r="A154" t="s">
        <v>63</v>
      </c>
      <c r="B154" t="s">
        <v>453</v>
      </c>
      <c r="C154" t="s">
        <v>656</v>
      </c>
    </row>
    <row r="155" spans="1:3" x14ac:dyDescent="0.25">
      <c r="A155" t="s">
        <v>63</v>
      </c>
      <c r="B155" t="s">
        <v>455</v>
      </c>
      <c r="C155" t="s">
        <v>656</v>
      </c>
    </row>
    <row r="156" spans="1:3" x14ac:dyDescent="0.25">
      <c r="A156" t="s">
        <v>63</v>
      </c>
      <c r="B156" t="s">
        <v>473</v>
      </c>
      <c r="C156" t="s">
        <v>656</v>
      </c>
    </row>
    <row r="157" spans="1:3" x14ac:dyDescent="0.25">
      <c r="A157" t="s">
        <v>63</v>
      </c>
      <c r="B157" t="s">
        <v>480</v>
      </c>
      <c r="C157" t="s">
        <v>656</v>
      </c>
    </row>
    <row r="158" spans="1:3" x14ac:dyDescent="0.25">
      <c r="A158" t="s">
        <v>63</v>
      </c>
      <c r="B158" t="s">
        <v>482</v>
      </c>
      <c r="C158" t="s">
        <v>656</v>
      </c>
    </row>
    <row r="159" spans="1:3" x14ac:dyDescent="0.25">
      <c r="A159" t="s">
        <v>63</v>
      </c>
      <c r="B159" t="s">
        <v>450</v>
      </c>
      <c r="C159" t="s">
        <v>303</v>
      </c>
    </row>
    <row r="160" spans="1:3" x14ac:dyDescent="0.25">
      <c r="A160" t="s">
        <v>63</v>
      </c>
      <c r="B160" t="s">
        <v>453</v>
      </c>
      <c r="C160" t="s">
        <v>303</v>
      </c>
    </row>
    <row r="161" spans="1:3" x14ac:dyDescent="0.25">
      <c r="A161" t="s">
        <v>63</v>
      </c>
      <c r="B161" t="s">
        <v>486</v>
      </c>
      <c r="C161" t="s">
        <v>303</v>
      </c>
    </row>
    <row r="162" spans="1:3" x14ac:dyDescent="0.25">
      <c r="A162" t="s">
        <v>63</v>
      </c>
      <c r="B162" t="s">
        <v>450</v>
      </c>
      <c r="C162" t="s">
        <v>301</v>
      </c>
    </row>
    <row r="163" spans="1:3" x14ac:dyDescent="0.25">
      <c r="A163" t="s">
        <v>63</v>
      </c>
      <c r="B163" t="s">
        <v>453</v>
      </c>
      <c r="C163" t="s">
        <v>301</v>
      </c>
    </row>
    <row r="164" spans="1:3" x14ac:dyDescent="0.25">
      <c r="A164" t="s">
        <v>63</v>
      </c>
      <c r="B164" t="s">
        <v>482</v>
      </c>
      <c r="C164" t="s">
        <v>302</v>
      </c>
    </row>
    <row r="165" spans="1:3" x14ac:dyDescent="0.25">
      <c r="A165" t="s">
        <v>63</v>
      </c>
      <c r="B165" t="s">
        <v>484</v>
      </c>
      <c r="C165" t="s">
        <v>302</v>
      </c>
    </row>
    <row r="166" spans="1:3" x14ac:dyDescent="0.25">
      <c r="A166" t="s">
        <v>63</v>
      </c>
      <c r="B166" t="s">
        <v>484</v>
      </c>
      <c r="C166" t="s">
        <v>304</v>
      </c>
    </row>
    <row r="167" spans="1:3" ht="18" customHeight="1" x14ac:dyDescent="0.25">
      <c r="A167" t="s">
        <v>33</v>
      </c>
      <c r="B167" t="s">
        <v>450</v>
      </c>
      <c r="C167" t="s">
        <v>318</v>
      </c>
    </row>
    <row r="168" spans="1:3" ht="18" customHeight="1" x14ac:dyDescent="0.25">
      <c r="A168" t="s">
        <v>33</v>
      </c>
      <c r="B168" t="s">
        <v>450</v>
      </c>
      <c r="C168" t="s">
        <v>322</v>
      </c>
    </row>
    <row r="169" spans="1:3" ht="18" customHeight="1" x14ac:dyDescent="0.25">
      <c r="A169" t="s">
        <v>33</v>
      </c>
      <c r="B169" t="s">
        <v>450</v>
      </c>
      <c r="C169" t="s">
        <v>325</v>
      </c>
    </row>
    <row r="170" spans="1:3" ht="18" customHeight="1" x14ac:dyDescent="0.25">
      <c r="A170" t="s">
        <v>33</v>
      </c>
      <c r="B170" t="s">
        <v>453</v>
      </c>
      <c r="C170" t="s">
        <v>332</v>
      </c>
    </row>
    <row r="171" spans="1:3" ht="18" customHeight="1" x14ac:dyDescent="0.25">
      <c r="A171" t="s">
        <v>33</v>
      </c>
      <c r="B171" t="s">
        <v>459</v>
      </c>
      <c r="C171" t="s">
        <v>318</v>
      </c>
    </row>
    <row r="172" spans="1:3" ht="18" customHeight="1" x14ac:dyDescent="0.25">
      <c r="A172" t="s">
        <v>33</v>
      </c>
      <c r="B172" t="s">
        <v>459</v>
      </c>
      <c r="C172" t="s">
        <v>322</v>
      </c>
    </row>
    <row r="173" spans="1:3" ht="18" customHeight="1" x14ac:dyDescent="0.25">
      <c r="A173" t="s">
        <v>33</v>
      </c>
      <c r="B173" t="s">
        <v>459</v>
      </c>
      <c r="C173" t="s">
        <v>325</v>
      </c>
    </row>
    <row r="174" spans="1:3" ht="18" customHeight="1" x14ac:dyDescent="0.25">
      <c r="A174" t="s">
        <v>33</v>
      </c>
      <c r="B174" t="s">
        <v>462</v>
      </c>
      <c r="C174" t="s">
        <v>332</v>
      </c>
    </row>
    <row r="175" spans="1:3" ht="18" customHeight="1" x14ac:dyDescent="0.25">
      <c r="A175" t="s">
        <v>33</v>
      </c>
      <c r="B175" t="s">
        <v>466</v>
      </c>
      <c r="C175" t="s">
        <v>318</v>
      </c>
    </row>
    <row r="176" spans="1:3" ht="18" customHeight="1" x14ac:dyDescent="0.25">
      <c r="A176" t="s">
        <v>33</v>
      </c>
      <c r="B176" t="s">
        <v>466</v>
      </c>
      <c r="C176" t="s">
        <v>322</v>
      </c>
    </row>
    <row r="177" spans="1:3" ht="18" customHeight="1" x14ac:dyDescent="0.25">
      <c r="A177" t="s">
        <v>33</v>
      </c>
      <c r="B177" t="s">
        <v>466</v>
      </c>
      <c r="C177" t="s">
        <v>325</v>
      </c>
    </row>
    <row r="178" spans="1:3" ht="18" customHeight="1" x14ac:dyDescent="0.25">
      <c r="A178" t="s">
        <v>33</v>
      </c>
      <c r="B178" t="s">
        <v>545</v>
      </c>
      <c r="C178" t="s">
        <v>332</v>
      </c>
    </row>
    <row r="179" spans="1:3" ht="18" customHeight="1" x14ac:dyDescent="0.25">
      <c r="A179" t="s">
        <v>33</v>
      </c>
      <c r="B179" t="s">
        <v>572</v>
      </c>
      <c r="C179" t="s">
        <v>328</v>
      </c>
    </row>
  </sheetData>
  <autoFilter ref="A3:C179" xr:uid="{00000000-0009-0000-0000-000006000000}"/>
  <mergeCells count="1">
    <mergeCell ref="A1:C1"/>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68BFDA-6D4B-4C12-8BA7-7E70B4D9D70D}">
  <dimension ref="A1:F5"/>
  <sheetViews>
    <sheetView workbookViewId="0"/>
  </sheetViews>
  <sheetFormatPr baseColWidth="10" defaultColWidth="9.140625" defaultRowHeight="15" x14ac:dyDescent="0.25"/>
  <cols>
    <col min="1" max="1" width="20" customWidth="1"/>
    <col min="2" max="2" width="18" customWidth="1"/>
    <col min="3" max="3" width="20" customWidth="1"/>
    <col min="4" max="4" width="60" customWidth="1"/>
    <col min="5" max="6" width="18" customWidth="1"/>
  </cols>
  <sheetData>
    <row r="1" spans="1:6" ht="21.95" customHeight="1" x14ac:dyDescent="0.25">
      <c r="A1" s="95" t="s">
        <v>657</v>
      </c>
      <c r="B1" s="95" t="s">
        <v>658</v>
      </c>
      <c r="C1" s="95" t="s">
        <v>659</v>
      </c>
      <c r="D1" s="95" t="s">
        <v>660</v>
      </c>
      <c r="E1" s="95" t="s">
        <v>661</v>
      </c>
      <c r="F1" s="95" t="s">
        <v>662</v>
      </c>
    </row>
    <row r="2" spans="1:6" x14ac:dyDescent="0.25">
      <c r="A2" t="s">
        <v>663</v>
      </c>
      <c r="B2" s="96">
        <v>46177</v>
      </c>
      <c r="C2" t="s">
        <v>664</v>
      </c>
      <c r="D2" t="s">
        <v>665</v>
      </c>
      <c r="E2" t="s">
        <v>666</v>
      </c>
      <c r="F2" s="96">
        <v>46178</v>
      </c>
    </row>
    <row r="3" spans="1:6" x14ac:dyDescent="0.25">
      <c r="A3" t="s">
        <v>667</v>
      </c>
      <c r="B3" s="96">
        <v>46177</v>
      </c>
      <c r="C3" t="s">
        <v>664</v>
      </c>
      <c r="D3" t="s">
        <v>665</v>
      </c>
      <c r="E3" t="s">
        <v>666</v>
      </c>
      <c r="F3" s="96">
        <v>46178</v>
      </c>
    </row>
    <row r="4" spans="1:6" x14ac:dyDescent="0.25">
      <c r="A4" t="s">
        <v>668</v>
      </c>
      <c r="B4" s="96">
        <v>46177</v>
      </c>
      <c r="C4" t="s">
        <v>664</v>
      </c>
      <c r="D4" t="s">
        <v>665</v>
      </c>
      <c r="E4" t="s">
        <v>666</v>
      </c>
      <c r="F4" s="96">
        <v>46178</v>
      </c>
    </row>
    <row r="5" spans="1:6" x14ac:dyDescent="0.25">
      <c r="A5" t="s">
        <v>669</v>
      </c>
      <c r="B5" s="96">
        <v>46177</v>
      </c>
      <c r="C5" t="s">
        <v>664</v>
      </c>
      <c r="D5" t="s">
        <v>665</v>
      </c>
      <c r="E5" t="s">
        <v>666</v>
      </c>
      <c r="F5" s="96">
        <v>46178</v>
      </c>
    </row>
  </sheetData>
  <dataValidations count="1">
    <dataValidation type="list" allowBlank="1" showErrorMessage="1" errorTitle="Valor inválido" error="Use: En gestión, Resuelto o Escalado" sqref="E2:E1000" xr:uid="{DCA6A68B-A83A-4419-A3B0-C8687A6857F5}">
      <formula1>"En gestión,Resuelto,Escalado"</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E51"/>
  <sheetViews>
    <sheetView topLeftCell="A28" workbookViewId="0">
      <selection activeCell="B54" sqref="B54"/>
    </sheetView>
  </sheetViews>
  <sheetFormatPr baseColWidth="10" defaultColWidth="9.140625" defaultRowHeight="15" x14ac:dyDescent="0.25"/>
  <cols>
    <col min="1" max="1" width="3.7109375" customWidth="1"/>
    <col min="2" max="2" width="15" bestFit="1" customWidth="1"/>
    <col min="3" max="3" width="17.28515625" customWidth="1"/>
    <col min="4" max="4" width="36.42578125" customWidth="1"/>
    <col min="5" max="5" width="42" customWidth="1"/>
  </cols>
  <sheetData>
    <row r="2" spans="2:5" x14ac:dyDescent="0.25">
      <c r="B2" t="s">
        <v>0</v>
      </c>
      <c r="C2" t="s">
        <v>1</v>
      </c>
      <c r="D2" t="s">
        <v>2</v>
      </c>
      <c r="E2" t="s">
        <v>3</v>
      </c>
    </row>
    <row r="3" spans="2:5" x14ac:dyDescent="0.25">
      <c r="B3" t="s">
        <v>4</v>
      </c>
      <c r="C3" t="s">
        <v>5</v>
      </c>
      <c r="D3" t="s">
        <v>6</v>
      </c>
      <c r="E3" t="s">
        <v>7</v>
      </c>
    </row>
    <row r="4" spans="2:5" x14ac:dyDescent="0.25">
      <c r="B4" t="s">
        <v>4</v>
      </c>
      <c r="C4" t="s">
        <v>5</v>
      </c>
      <c r="D4" t="s">
        <v>6</v>
      </c>
      <c r="E4" t="s">
        <v>8</v>
      </c>
    </row>
    <row r="5" spans="2:5" x14ac:dyDescent="0.25">
      <c r="B5" t="s">
        <v>4</v>
      </c>
      <c r="C5" t="s">
        <v>5</v>
      </c>
      <c r="D5" t="s">
        <v>6</v>
      </c>
      <c r="E5" t="s">
        <v>9</v>
      </c>
    </row>
    <row r="6" spans="2:5" x14ac:dyDescent="0.25">
      <c r="B6" t="s">
        <v>4</v>
      </c>
      <c r="C6" t="s">
        <v>5</v>
      </c>
      <c r="D6" t="s">
        <v>6</v>
      </c>
      <c r="E6" t="s">
        <v>10</v>
      </c>
    </row>
    <row r="7" spans="2:5" x14ac:dyDescent="0.25">
      <c r="B7" t="s">
        <v>4</v>
      </c>
      <c r="C7" t="s">
        <v>5</v>
      </c>
      <c r="D7" t="s">
        <v>6</v>
      </c>
      <c r="E7" t="s">
        <v>11</v>
      </c>
    </row>
    <row r="8" spans="2:5" x14ac:dyDescent="0.25">
      <c r="B8" t="s">
        <v>4</v>
      </c>
      <c r="C8" t="s">
        <v>5</v>
      </c>
      <c r="D8" t="s">
        <v>6</v>
      </c>
      <c r="E8" t="s">
        <v>12</v>
      </c>
    </row>
    <row r="9" spans="2:5" x14ac:dyDescent="0.25">
      <c r="B9" t="s">
        <v>4</v>
      </c>
      <c r="C9" t="s">
        <v>13</v>
      </c>
      <c r="D9" t="s">
        <v>14</v>
      </c>
      <c r="E9" t="s">
        <v>15</v>
      </c>
    </row>
    <row r="10" spans="2:5" x14ac:dyDescent="0.25">
      <c r="B10" t="s">
        <v>4</v>
      </c>
      <c r="C10" t="s">
        <v>13</v>
      </c>
      <c r="D10" t="s">
        <v>14</v>
      </c>
      <c r="E10" t="s">
        <v>16</v>
      </c>
    </row>
    <row r="11" spans="2:5" x14ac:dyDescent="0.25">
      <c r="B11" t="s">
        <v>4</v>
      </c>
      <c r="C11" t="s">
        <v>13</v>
      </c>
      <c r="D11" t="s">
        <v>14</v>
      </c>
      <c r="E11" t="s">
        <v>17</v>
      </c>
    </row>
    <row r="12" spans="2:5" x14ac:dyDescent="0.25">
      <c r="B12" t="s">
        <v>4</v>
      </c>
      <c r="C12" t="s">
        <v>5</v>
      </c>
      <c r="D12" t="s">
        <v>18</v>
      </c>
      <c r="E12" t="s">
        <v>19</v>
      </c>
    </row>
    <row r="13" spans="2:5" x14ac:dyDescent="0.25">
      <c r="B13" t="s">
        <v>4</v>
      </c>
      <c r="C13" t="s">
        <v>5</v>
      </c>
      <c r="D13" t="s">
        <v>20</v>
      </c>
      <c r="E13" t="s">
        <v>19</v>
      </c>
    </row>
    <row r="14" spans="2:5" x14ac:dyDescent="0.25">
      <c r="B14" t="s">
        <v>4</v>
      </c>
      <c r="C14" t="s">
        <v>13</v>
      </c>
      <c r="D14" t="s">
        <v>21</v>
      </c>
      <c r="E14" t="s">
        <v>22</v>
      </c>
    </row>
    <row r="15" spans="2:5" x14ac:dyDescent="0.25">
      <c r="B15" t="s">
        <v>4</v>
      </c>
      <c r="C15" t="s">
        <v>23</v>
      </c>
      <c r="D15" t="s">
        <v>24</v>
      </c>
      <c r="E15" t="s">
        <v>25</v>
      </c>
    </row>
    <row r="16" spans="2:5" x14ac:dyDescent="0.25">
      <c r="B16" t="s">
        <v>4</v>
      </c>
      <c r="C16" t="s">
        <v>23</v>
      </c>
      <c r="D16" t="s">
        <v>24</v>
      </c>
      <c r="E16" t="s">
        <v>26</v>
      </c>
    </row>
    <row r="17" spans="2:5" x14ac:dyDescent="0.25">
      <c r="B17" t="s">
        <v>4</v>
      </c>
      <c r="C17" t="s">
        <v>23</v>
      </c>
      <c r="D17" t="s">
        <v>24</v>
      </c>
      <c r="E17" t="s">
        <v>27</v>
      </c>
    </row>
    <row r="18" spans="2:5" x14ac:dyDescent="0.25">
      <c r="B18" t="s">
        <v>4</v>
      </c>
      <c r="C18" t="s">
        <v>28</v>
      </c>
      <c r="D18" t="s">
        <v>29</v>
      </c>
      <c r="E18" t="s">
        <v>30</v>
      </c>
    </row>
    <row r="19" spans="2:5" x14ac:dyDescent="0.25">
      <c r="B19" s="8">
        <v>46092</v>
      </c>
      <c r="C19" t="s">
        <v>5</v>
      </c>
      <c r="D19" t="s">
        <v>18</v>
      </c>
      <c r="E19" t="s">
        <v>31</v>
      </c>
    </row>
    <row r="20" spans="2:5" x14ac:dyDescent="0.25">
      <c r="B20" s="8">
        <v>46092</v>
      </c>
      <c r="C20" t="s">
        <v>5</v>
      </c>
      <c r="D20" t="s">
        <v>20</v>
      </c>
      <c r="E20" t="s">
        <v>31</v>
      </c>
    </row>
    <row r="21" spans="2:5" x14ac:dyDescent="0.25">
      <c r="B21" s="8">
        <v>46092</v>
      </c>
      <c r="C21" t="s">
        <v>5</v>
      </c>
      <c r="D21" t="s">
        <v>6</v>
      </c>
      <c r="E21" t="s">
        <v>31</v>
      </c>
    </row>
    <row r="22" spans="2:5" x14ac:dyDescent="0.25">
      <c r="B22" s="8">
        <v>46092</v>
      </c>
      <c r="C22" t="s">
        <v>5</v>
      </c>
      <c r="D22" t="s">
        <v>29</v>
      </c>
      <c r="E22" t="s">
        <v>32</v>
      </c>
    </row>
    <row r="23" spans="2:5" x14ac:dyDescent="0.25">
      <c r="B23" s="8">
        <v>46092</v>
      </c>
      <c r="C23" t="s">
        <v>5</v>
      </c>
      <c r="D23" t="s">
        <v>33</v>
      </c>
      <c r="E23" t="s">
        <v>32</v>
      </c>
    </row>
    <row r="24" spans="2:5" x14ac:dyDescent="0.25">
      <c r="B24" s="8">
        <v>46092</v>
      </c>
      <c r="C24" t="s">
        <v>5</v>
      </c>
      <c r="D24" t="s">
        <v>21</v>
      </c>
      <c r="E24" t="s">
        <v>7</v>
      </c>
    </row>
    <row r="25" spans="2:5" x14ac:dyDescent="0.25">
      <c r="B25" s="8">
        <v>46092</v>
      </c>
      <c r="C25" t="s">
        <v>5</v>
      </c>
      <c r="D25" t="s">
        <v>21</v>
      </c>
      <c r="E25" t="s">
        <v>34</v>
      </c>
    </row>
    <row r="26" spans="2:5" x14ac:dyDescent="0.25">
      <c r="B26" s="8">
        <v>46119</v>
      </c>
      <c r="C26" t="s">
        <v>13</v>
      </c>
      <c r="E26" t="s">
        <v>35</v>
      </c>
    </row>
    <row r="27" spans="2:5" x14ac:dyDescent="0.25">
      <c r="B27" s="8">
        <v>46119</v>
      </c>
      <c r="C27" t="s">
        <v>13</v>
      </c>
      <c r="D27" t="s">
        <v>33</v>
      </c>
      <c r="E27" t="s">
        <v>36</v>
      </c>
    </row>
    <row r="28" spans="2:5" x14ac:dyDescent="0.25">
      <c r="B28" s="8">
        <v>46119</v>
      </c>
      <c r="C28" t="s">
        <v>13</v>
      </c>
      <c r="D28" t="s">
        <v>29</v>
      </c>
      <c r="E28" t="s">
        <v>37</v>
      </c>
    </row>
    <row r="29" spans="2:5" x14ac:dyDescent="0.25">
      <c r="B29" s="8">
        <v>46119</v>
      </c>
      <c r="C29" t="s">
        <v>13</v>
      </c>
      <c r="D29" t="s">
        <v>24</v>
      </c>
      <c r="E29" t="s">
        <v>37</v>
      </c>
    </row>
    <row r="30" spans="2:5" x14ac:dyDescent="0.25">
      <c r="B30" s="8">
        <v>46121</v>
      </c>
      <c r="C30" t="s">
        <v>38</v>
      </c>
      <c r="D30" t="s">
        <v>39</v>
      </c>
      <c r="E30" t="s">
        <v>40</v>
      </c>
    </row>
    <row r="31" spans="2:5" x14ac:dyDescent="0.25">
      <c r="B31" s="8">
        <v>46121</v>
      </c>
      <c r="C31" t="s">
        <v>41</v>
      </c>
      <c r="D31" t="s">
        <v>42</v>
      </c>
      <c r="E31" t="s">
        <v>43</v>
      </c>
    </row>
    <row r="32" spans="2:5" x14ac:dyDescent="0.25">
      <c r="B32" s="8">
        <v>46126</v>
      </c>
      <c r="C32" t="s">
        <v>44</v>
      </c>
      <c r="D32" t="s">
        <v>45</v>
      </c>
      <c r="E32" t="s">
        <v>46</v>
      </c>
    </row>
    <row r="33" spans="2:5" x14ac:dyDescent="0.25">
      <c r="B33" s="8">
        <v>46134</v>
      </c>
      <c r="C33" t="s">
        <v>47</v>
      </c>
      <c r="E33" t="s">
        <v>48</v>
      </c>
    </row>
    <row r="34" spans="2:5" x14ac:dyDescent="0.25">
      <c r="B34" s="8">
        <v>46134</v>
      </c>
      <c r="C34" t="s">
        <v>5</v>
      </c>
      <c r="E34" t="s">
        <v>49</v>
      </c>
    </row>
    <row r="35" spans="2:5" x14ac:dyDescent="0.25">
      <c r="B35" s="8">
        <v>46142</v>
      </c>
      <c r="C35" t="s">
        <v>5</v>
      </c>
      <c r="E35" t="s">
        <v>50</v>
      </c>
    </row>
    <row r="36" spans="2:5" x14ac:dyDescent="0.25">
      <c r="B36" s="8">
        <v>46160</v>
      </c>
      <c r="C36" t="s">
        <v>13</v>
      </c>
      <c r="E36" t="s">
        <v>51</v>
      </c>
    </row>
    <row r="37" spans="2:5" x14ac:dyDescent="0.25">
      <c r="B37" s="8">
        <v>46169</v>
      </c>
      <c r="C37" t="s">
        <v>52</v>
      </c>
      <c r="E37" t="s">
        <v>53</v>
      </c>
    </row>
    <row r="38" spans="2:5" x14ac:dyDescent="0.25">
      <c r="B38" s="8">
        <v>46170</v>
      </c>
      <c r="C38" t="s">
        <v>52</v>
      </c>
      <c r="E38" t="s">
        <v>54</v>
      </c>
    </row>
    <row r="39" spans="2:5" x14ac:dyDescent="0.25">
      <c r="B39" s="8">
        <v>46170</v>
      </c>
      <c r="C39" t="s">
        <v>55</v>
      </c>
      <c r="E39" t="s">
        <v>56</v>
      </c>
    </row>
    <row r="40" spans="2:5" x14ac:dyDescent="0.25">
      <c r="B40" s="8">
        <v>46170</v>
      </c>
      <c r="C40" t="s">
        <v>5</v>
      </c>
      <c r="D40" t="s">
        <v>14</v>
      </c>
      <c r="E40" t="s">
        <v>57</v>
      </c>
    </row>
    <row r="41" spans="2:5" x14ac:dyDescent="0.25">
      <c r="B41" s="8">
        <v>46171</v>
      </c>
      <c r="C41" t="s">
        <v>52</v>
      </c>
      <c r="E41" t="s">
        <v>58</v>
      </c>
    </row>
    <row r="42" spans="2:5" x14ac:dyDescent="0.25">
      <c r="B42" s="8">
        <v>46171</v>
      </c>
      <c r="C42" t="s">
        <v>13</v>
      </c>
      <c r="E42" t="s">
        <v>59</v>
      </c>
    </row>
    <row r="43" spans="2:5" x14ac:dyDescent="0.25">
      <c r="B43" s="8">
        <v>46171</v>
      </c>
      <c r="C43" t="s">
        <v>60</v>
      </c>
      <c r="E43" t="s">
        <v>61</v>
      </c>
    </row>
    <row r="44" spans="2:5" x14ac:dyDescent="0.25">
      <c r="B44" s="8">
        <v>46171</v>
      </c>
      <c r="C44" t="s">
        <v>38</v>
      </c>
      <c r="D44" t="s">
        <v>18</v>
      </c>
      <c r="E44" t="s">
        <v>62</v>
      </c>
    </row>
    <row r="45" spans="2:5" x14ac:dyDescent="0.25">
      <c r="B45" s="8">
        <v>46171</v>
      </c>
      <c r="C45" t="s">
        <v>38</v>
      </c>
      <c r="D45" t="s">
        <v>63</v>
      </c>
      <c r="E45" t="s">
        <v>64</v>
      </c>
    </row>
    <row r="46" spans="2:5" x14ac:dyDescent="0.25">
      <c r="B46" s="8">
        <v>46175</v>
      </c>
      <c r="C46" t="s">
        <v>65</v>
      </c>
      <c r="D46" t="s">
        <v>21</v>
      </c>
      <c r="E46" t="s">
        <v>66</v>
      </c>
    </row>
    <row r="47" spans="2:5" x14ac:dyDescent="0.25">
      <c r="B47" s="8">
        <v>46175</v>
      </c>
      <c r="C47" t="s">
        <v>67</v>
      </c>
      <c r="D47" t="s">
        <v>21</v>
      </c>
      <c r="E47" t="s">
        <v>68</v>
      </c>
    </row>
    <row r="48" spans="2:5" x14ac:dyDescent="0.25">
      <c r="B48" s="8">
        <v>46175</v>
      </c>
      <c r="C48" t="s">
        <v>65</v>
      </c>
      <c r="D48" t="s">
        <v>69</v>
      </c>
      <c r="E48" t="s">
        <v>70</v>
      </c>
    </row>
    <row r="49" spans="2:5" x14ac:dyDescent="0.25">
      <c r="B49" s="8">
        <v>46175</v>
      </c>
      <c r="C49" t="s">
        <v>67</v>
      </c>
      <c r="D49" t="s">
        <v>69</v>
      </c>
      <c r="E49" t="s">
        <v>71</v>
      </c>
    </row>
    <row r="50" spans="2:5" x14ac:dyDescent="0.25">
      <c r="B50" s="8">
        <v>46175</v>
      </c>
      <c r="C50" t="s">
        <v>65</v>
      </c>
      <c r="D50" t="s">
        <v>63</v>
      </c>
      <c r="E50" t="s">
        <v>72</v>
      </c>
    </row>
    <row r="51" spans="2:5" x14ac:dyDescent="0.25">
      <c r="B51" s="8">
        <v>46175</v>
      </c>
      <c r="C51" t="s">
        <v>67</v>
      </c>
      <c r="D51" t="s">
        <v>63</v>
      </c>
      <c r="E51" t="s">
        <v>73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documentos</vt:lpstr>
      <vt:lpstr>equipo</vt:lpstr>
      <vt:lpstr>productos criticos</vt:lpstr>
      <vt:lpstr>PMR</vt:lpstr>
      <vt:lpstr>datos_ops</vt:lpstr>
      <vt:lpstr>resultados</vt:lpstr>
      <vt:lpstr>productos_resultados</vt:lpstr>
      <vt:lpstr>comentarios_clausulas</vt:lpstr>
      <vt:lpstr>change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Borbon Munoz, Alvaro</dc:creator>
  <cp:lastModifiedBy>Borbon Munoz, Alvaro</cp:lastModifiedBy>
  <dcterms:created xsi:type="dcterms:W3CDTF">2026-02-27T15:49:05Z</dcterms:created>
  <dcterms:modified xsi:type="dcterms:W3CDTF">2026-06-04T07:40:36Z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0x01010090862990C7B69B4FACED7B33CDEA6B2D</vt:lpwstr>
  </property>
  <property fmtid="{D5CDD505-2E9C-101B-9397-08002B2CF9AE}" pid="3" name="MediaServiceImageTags">
    <vt:lpwstr/>
  </property>
</Properties>
</file>