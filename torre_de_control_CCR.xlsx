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70" yWindow="630" windowWidth="20460" windowHeight="14490" tabRatio="819" firstSheet="0" activeTab="7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PMR" sheetId="4" state="visible" r:id="rId4"/>
    <sheet name="datos_ops" sheetId="5" state="visible" r:id="rId5"/>
    <sheet name="resultados" sheetId="6" state="visible" r:id="rId6"/>
    <sheet name="productos_resultados" sheetId="7" state="visible" r:id="rId7"/>
    <sheet name="change log" sheetId="8" state="visible" r:id="rId8"/>
    <sheet name="comentarios_clausulas" sheetId="9" state="visible" r:id="rId9"/>
  </sheets>
  <definedNames>
    <definedName name="_xlnm._FilterDatabase" localSheetId="0" hidden="1">'documentos'!$A$3:$D$60</definedName>
    <definedName name="_xlnm._FilterDatabase" localSheetId="2" hidden="1">'productos criticos'!$B$3:$G$34</definedName>
    <definedName name="_xlnm._FilterDatabase" localSheetId="5" hidden="1">'resultados'!$A$3:$H$113</definedName>
    <definedName name="_xlnm._FilterDatabase" localSheetId="6" hidden="1">'productos_resultados'!$A$3:$C$179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6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"/>
      <family val="2"/>
      <color theme="1"/>
      <sz val="11"/>
    </font>
    <font>
      <name val="Aptos Display"/>
      <family val="2"/>
      <color rgb="FFFFC000"/>
      <sz val="11"/>
    </font>
    <font>
      <name val="Aptos Display"/>
      <family val="2"/>
      <color rgb="FF00B050"/>
      <sz val="11"/>
    </font>
    <font>
      <name val="Aptos Display"/>
      <family val="2"/>
      <color rgb="FFFF0000"/>
      <sz val="11"/>
    </font>
    <font>
      <name val="Aptos Display"/>
      <family val="2"/>
      <color theme="1"/>
      <sz val="11"/>
    </font>
    <font>
      <name val="Aptos Narrow"/>
      <family val="2"/>
      <sz val="11"/>
      <scheme val="minor"/>
    </font>
    <font>
      <name val="Aptos Narrow"/>
      <family val="2"/>
      <color rgb="FF00B050"/>
      <sz val="11"/>
      <scheme val="minor"/>
    </font>
    <font>
      <name val="Aptos Narrow"/>
      <family val="2"/>
      <color rgb="FFFFC000"/>
      <sz val="11"/>
      <scheme val="minor"/>
    </font>
    <font>
      <name val="Aptos"/>
      <family val="2"/>
      <b val="1"/>
      <color theme="1"/>
      <sz val="11"/>
    </font>
    <font>
      <name val="Aptos Narrow"/>
      <family val="2"/>
      <b val="1"/>
      <color theme="1"/>
      <sz val="16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rial"/>
      <color rgb="FFE2E8F0"/>
      <sz val="10"/>
    </font>
    <font>
      <name val="Arial"/>
      <b val="1"/>
      <color rgb="FF00D4FF"/>
      <sz val="10"/>
    </font>
    <font>
      <name val="Arial"/>
      <b val="1"/>
      <color rgb="FFF59E0B"/>
      <sz val="10"/>
    </font>
    <font>
      <name val="Arial"/>
      <b val="1"/>
      <color rgb="FF10B981"/>
      <sz val="10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A0E1A"/>
      </patternFill>
    </fill>
    <fill>
      <patternFill patternType="solid">
        <fgColor rgb="FF111827"/>
      </patternFill>
    </fill>
    <fill>
      <patternFill patternType="solid">
        <fgColor rgb="FF0F1825"/>
      </patternFill>
    </fill>
    <fill>
      <patternFill patternType="solid">
        <fgColor rgb="001F3864"/>
      </patternFill>
    </fill>
  </fills>
  <borders count="29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</border>
  </borders>
  <cellStyleXfs count="3">
    <xf numFmtId="0" fontId="5" fillId="0" borderId="0"/>
    <xf numFmtId="9" fontId="5" fillId="0" borderId="0"/>
    <xf numFmtId="0" fontId="1" fillId="0" borderId="0"/>
  </cellStyleXfs>
  <cellXfs count="10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5" applyAlignment="1" pivotButton="0" quotePrefix="0" xfId="0">
      <alignment horizontal="left" vertical="center"/>
    </xf>
    <xf numFmtId="0" fontId="4" fillId="0" borderId="16" applyAlignment="1" pivotButton="0" quotePrefix="0" xfId="0">
      <alignment horizontal="left" vertical="center"/>
    </xf>
    <xf numFmtId="0" fontId="4" fillId="0" borderId="17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center"/>
    </xf>
    <xf numFmtId="0" fontId="0" fillId="0" borderId="13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 wrapText="1"/>
    </xf>
    <xf numFmtId="0" fontId="0" fillId="5" borderId="12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10" applyAlignment="1" pivotButton="0" quotePrefix="0" xfId="0">
      <alignment horizontal="left" vertical="center" wrapText="1"/>
    </xf>
    <xf numFmtId="0" fontId="0" fillId="5" borderId="10" applyAlignment="1" pivotButton="0" quotePrefix="0" xfId="0">
      <alignment horizontal="left" vertical="center"/>
    </xf>
    <xf numFmtId="0" fontId="0" fillId="0" borderId="10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 wrapText="1"/>
    </xf>
    <xf numFmtId="0" fontId="0" fillId="3" borderId="5" applyAlignment="1" pivotButton="0" quotePrefix="0" xfId="0">
      <alignment horizontal="left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 wrapText="1"/>
    </xf>
    <xf numFmtId="0" fontId="0" fillId="5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7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2" fillId="0" borderId="3" applyAlignment="1" pivotButton="0" quotePrefix="0" xfId="0">
      <alignment horizontal="center" vertical="center"/>
    </xf>
    <xf numFmtId="9" fontId="6" fillId="0" borderId="3" applyAlignment="1" pivotButton="0" quotePrefix="0" xfId="1">
      <alignment horizontal="center" vertical="center"/>
    </xf>
    <xf numFmtId="2" fontId="12" fillId="0" borderId="3" applyAlignment="1" pivotButton="0" quotePrefix="0" xfId="0">
      <alignment horizontal="center" vertical="center"/>
    </xf>
    <xf numFmtId="2" fontId="13" fillId="0" borderId="3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9" fontId="13" fillId="0" borderId="3" applyAlignment="1" pivotButton="0" quotePrefix="0" xfId="1">
      <alignment horizontal="center" vertical="center"/>
    </xf>
    <xf numFmtId="2" fontId="14" fillId="0" borderId="3" applyAlignment="1" pivotButton="0" quotePrefix="0" xfId="0">
      <alignment horizontal="center" vertical="center"/>
    </xf>
    <xf numFmtId="9" fontId="14" fillId="0" borderId="3" applyAlignment="1" pivotButton="0" quotePrefix="0" xfId="1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9" fontId="9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justify" vertical="center" wrapText="1"/>
    </xf>
    <xf numFmtId="0" fontId="11" fillId="0" borderId="3" applyAlignment="1" pivotButton="0" quotePrefix="0" xfId="0">
      <alignment vertical="center" wrapText="1"/>
    </xf>
    <xf numFmtId="14" fontId="0" fillId="0" borderId="0" pivotButton="0" quotePrefix="0" xfId="0"/>
    <xf numFmtId="0" fontId="15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0" pivotButton="0" quotePrefix="0" xfId="0"/>
    <xf numFmtId="0" fontId="18" fillId="0" borderId="18" applyAlignment="1" pivotButton="0" quotePrefix="0" xfId="0">
      <alignment horizontal="center" vertical="center"/>
    </xf>
    <xf numFmtId="0" fontId="19" fillId="0" borderId="18" applyAlignment="1" pivotButton="0" quotePrefix="0" xfId="0">
      <alignment horizontal="left" vertical="center"/>
    </xf>
    <xf numFmtId="0" fontId="8" fillId="0" borderId="19" applyAlignment="1" pivotButton="0" quotePrefix="0" xfId="0">
      <alignment vertical="center" wrapText="1"/>
    </xf>
    <xf numFmtId="0" fontId="9" fillId="0" borderId="19" applyAlignment="1" pivotButton="0" quotePrefix="0" xfId="0">
      <alignment vertical="center" wrapText="1"/>
    </xf>
    <xf numFmtId="0" fontId="10" fillId="0" borderId="19" applyAlignment="1" pivotButton="0" quotePrefix="0" xfId="0">
      <alignment vertical="center" wrapText="1"/>
    </xf>
    <xf numFmtId="0" fontId="11" fillId="0" borderId="19" applyAlignment="1" pivotButton="0" quotePrefix="0" xfId="0">
      <alignment vertical="center" wrapText="1"/>
    </xf>
    <xf numFmtId="0" fontId="15" fillId="0" borderId="19" applyAlignment="1" pivotButton="0" quotePrefix="0" xfId="0">
      <alignment vertical="center" wrapText="1"/>
    </xf>
    <xf numFmtId="0" fontId="15" fillId="4" borderId="3" applyAlignment="1" pivotButton="0" quotePrefix="0" xfId="0">
      <alignment vertical="center" wrapText="1"/>
    </xf>
    <xf numFmtId="0" fontId="7" fillId="4" borderId="3" applyAlignment="1" pivotButton="0" quotePrefix="0" xfId="0">
      <alignment vertical="center" wrapText="1"/>
    </xf>
    <xf numFmtId="0" fontId="0" fillId="0" borderId="20" applyAlignment="1" pivotButton="0" quotePrefix="0" xfId="0">
      <alignment horizontal="left" vertical="center"/>
    </xf>
    <xf numFmtId="0" fontId="0" fillId="0" borderId="21" applyAlignment="1" pivotButton="0" quotePrefix="0" xfId="0">
      <alignment horizontal="left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3" applyAlignment="1" pivotButton="0" quotePrefix="0" xfId="0">
      <alignment horizontal="left" vertical="center"/>
    </xf>
    <xf numFmtId="0" fontId="0" fillId="0" borderId="24" applyAlignment="1" pivotButton="0" quotePrefix="0" xfId="0">
      <alignment horizontal="left" vertical="center"/>
    </xf>
    <xf numFmtId="0" fontId="0" fillId="0" borderId="25" applyAlignment="1" pivotButton="0" quotePrefix="0" xfId="0">
      <alignment horizontal="left" vertical="center"/>
    </xf>
    <xf numFmtId="0" fontId="0" fillId="0" borderId="26" applyAlignment="1" pivotButton="0" quotePrefix="0" xfId="0">
      <alignment horizontal="left" vertical="center"/>
    </xf>
    <xf numFmtId="0" fontId="0" fillId="5" borderId="26" applyAlignment="1" pivotButton="0" quotePrefix="0" xfId="0">
      <alignment horizontal="left" vertical="center"/>
    </xf>
    <xf numFmtId="0" fontId="0" fillId="0" borderId="26" applyAlignment="1" pivotButton="0" quotePrefix="0" xfId="0">
      <alignment horizontal="left" vertical="center" wrapText="1"/>
    </xf>
    <xf numFmtId="0" fontId="0" fillId="0" borderId="27" applyAlignment="1" pivotButton="0" quotePrefix="0" xfId="0">
      <alignment horizontal="left" vertical="center" wrapText="1"/>
    </xf>
    <xf numFmtId="0" fontId="0" fillId="3" borderId="21" applyAlignment="1" pivotButton="0" quotePrefix="0" xfId="0">
      <alignment horizontal="left" vertical="center"/>
    </xf>
    <xf numFmtId="0" fontId="0" fillId="0" borderId="22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20" fillId="6" borderId="0" applyAlignment="1" pivotButton="0" quotePrefix="0" xfId="0">
      <alignment horizontal="left" vertical="center"/>
    </xf>
    <xf numFmtId="0" fontId="0" fillId="0" borderId="0" pivotButton="0" quotePrefix="0" xfId="0"/>
    <xf numFmtId="0" fontId="21" fillId="7" borderId="28" applyAlignment="1" pivotButton="0" quotePrefix="0" xfId="0">
      <alignment horizontal="left" vertical="center"/>
    </xf>
    <xf numFmtId="0" fontId="22" fillId="7" borderId="28" applyAlignment="1" pivotButton="0" quotePrefix="0" xfId="0">
      <alignment horizontal="left" vertical="center"/>
    </xf>
    <xf numFmtId="0" fontId="21" fillId="7" borderId="28" applyAlignment="1" pivotButton="0" quotePrefix="0" xfId="0">
      <alignment horizontal="left" vertical="center" wrapText="1"/>
    </xf>
    <xf numFmtId="0" fontId="23" fillId="7" borderId="28" applyAlignment="1" pivotButton="0" quotePrefix="0" xfId="0">
      <alignment horizontal="left" vertical="center"/>
    </xf>
    <xf numFmtId="0" fontId="21" fillId="8" borderId="28" applyAlignment="1" pivotButton="0" quotePrefix="0" xfId="0">
      <alignment horizontal="left" vertical="center"/>
    </xf>
    <xf numFmtId="0" fontId="22" fillId="8" borderId="28" applyAlignment="1" pivotButton="0" quotePrefix="0" xfId="0">
      <alignment horizontal="left" vertical="center"/>
    </xf>
    <xf numFmtId="0" fontId="21" fillId="8" borderId="28" applyAlignment="1" pivotButton="0" quotePrefix="0" xfId="0">
      <alignment horizontal="left" vertical="center" wrapText="1"/>
    </xf>
    <xf numFmtId="0" fontId="24" fillId="8" borderId="28" applyAlignment="1" pivotButton="0" quotePrefix="0" xfId="0">
      <alignment horizontal="left" vertical="center"/>
    </xf>
    <xf numFmtId="0" fontId="25" fillId="9" borderId="0" applyAlignment="1" pivotButton="0" quotePrefix="0" xfId="0">
      <alignment horizontal="center" vertical="center"/>
    </xf>
    <xf numFmtId="164" fontId="0" fillId="0" borderId="0" pivotButton="0" quotePrefix="0" xfId="0"/>
  </cellXfs>
  <cellStyles count="3">
    <cellStyle name="Normal" xfId="0" builtinId="0"/>
    <cellStyle name="Percent" xfId="1" builtinId="5"/>
    <cellStyle name="Hyperlink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3" topLeftCell="A4" activePane="bottomLeft" state="frozen"/>
      <selection pane="bottomLeft" activeCell="C6" sqref="C6"/>
    </sheetView>
  </sheetViews>
  <sheetFormatPr baseColWidth="8" defaultColWidth="8.88671875" defaultRowHeight="14.4"/>
  <cols>
    <col width="14" customWidth="1" style="87" min="1" max="1"/>
    <col width="38" customWidth="1" style="87" min="2" max="2"/>
    <col width="42" customWidth="1" style="87" min="3" max="3"/>
    <col width="80" customWidth="1" style="87" min="4" max="4"/>
    <col width="8.88671875" customWidth="1" style="87" min="5" max="6"/>
    <col width="8.88671875" customWidth="1" style="87" min="7" max="16384"/>
  </cols>
  <sheetData>
    <row r="1" ht="28.2" customHeight="1" s="89">
      <c r="A1" s="86" t="inlineStr">
        <is>
          <t>Documentos por Operación — Torre de Control CCR</t>
        </is>
      </c>
    </row>
    <row r="2" ht="6" customHeight="1" s="89"/>
    <row r="3" ht="22.2" customHeight="1" s="89">
      <c r="A3" s="62" t="inlineStr">
        <is>
          <t>Operación</t>
        </is>
      </c>
      <c r="B3" s="62" t="inlineStr">
        <is>
          <t>Tipo de Documento</t>
        </is>
      </c>
      <c r="C3" s="62" t="inlineStr">
        <is>
          <t>Nombre / ID</t>
        </is>
      </c>
      <c r="D3" s="62" t="inlineStr">
        <is>
          <t>URL</t>
        </is>
      </c>
    </row>
    <row r="4" ht="18" customHeight="1" s="89">
      <c r="A4" s="62" t="inlineStr">
        <is>
          <t>CR-L1032</t>
        </is>
      </c>
      <c r="B4" s="63" t="inlineStr">
        <is>
          <t>Firma autorizada</t>
        </is>
      </c>
      <c r="C4" s="63" t="inlineStr">
        <is>
          <t>EZIDB0000195-360818819-5473</t>
        </is>
      </c>
      <c r="D4" s="63" t="inlineStr">
        <is>
          <t>https://ezws.iadb.org/getdocument.aspx?docnum=EZIDB0000195-360818819-5473</t>
        </is>
      </c>
    </row>
    <row r="5" ht="18" customHeight="1" s="89">
      <c r="A5" s="62" t="inlineStr">
        <is>
          <t>CR-L1032</t>
        </is>
      </c>
      <c r="B5" s="63" t="inlineStr">
        <is>
          <t>Firma autorizada</t>
        </is>
      </c>
      <c r="C5" s="63" t="inlineStr">
        <is>
          <t>EZIDB0000195-360818819-5467</t>
        </is>
      </c>
      <c r="D5" s="63" t="inlineStr">
        <is>
          <t>https://ezws.iadb.org/getdocument.aspx?docnum=EZIDB0000195-360818819-5467</t>
        </is>
      </c>
    </row>
    <row r="6" ht="18" customHeight="1" s="89">
      <c r="A6" s="62" t="inlineStr">
        <is>
          <t>CR-L1065</t>
        </is>
      </c>
      <c r="B6" s="63" t="inlineStr">
        <is>
          <t>Firma autorizada</t>
        </is>
      </c>
      <c r="C6" s="63" t="inlineStr">
        <is>
          <t>EZIDB0000195-1292350467-247</t>
        </is>
      </c>
      <c r="D6" s="63" t="inlineStr">
        <is>
          <t>https://ezws.iadb.org/getdocument.aspx?docnum=EZIDB0000195-1292350467-247</t>
        </is>
      </c>
    </row>
    <row r="7" ht="18" customHeight="1" s="89">
      <c r="A7" s="62" t="inlineStr">
        <is>
          <t>CR-L1066</t>
        </is>
      </c>
      <c r="B7" s="63" t="inlineStr">
        <is>
          <t>Firma autorizada</t>
        </is>
      </c>
      <c r="C7" s="63" t="inlineStr">
        <is>
          <t>EZIDB0000195-2089566125-407</t>
        </is>
      </c>
      <c r="D7" s="63" t="inlineStr">
        <is>
          <t>https://idbg.sharepoint.com/teams/EZ-CR-LON/CR-L1066/_layouts/15/DocIdRedir.aspx?ID=EZIDB0000195-2089566125-407</t>
        </is>
      </c>
    </row>
    <row r="8" ht="18" customHeight="1" s="89">
      <c r="A8" s="62" t="inlineStr">
        <is>
          <t>CR-L1137</t>
        </is>
      </c>
      <c r="B8" s="63" t="inlineStr">
        <is>
          <t>Firma autorizada</t>
        </is>
      </c>
      <c r="C8" s="63" t="inlineStr">
        <is>
          <t>EZIDB0000195-59487904-120</t>
        </is>
      </c>
      <c r="D8" s="63" t="inlineStr">
        <is>
          <t>https://ezws.iadb.org/getdocument.aspx?docnum=EZIDB0000195-59487904-120</t>
        </is>
      </c>
    </row>
    <row r="9" ht="18" customHeight="1" s="89">
      <c r="A9" s="62" t="inlineStr">
        <is>
          <t>CR-L1139</t>
        </is>
      </c>
      <c r="B9" s="63" t="inlineStr">
        <is>
          <t>Firma autorizada</t>
        </is>
      </c>
      <c r="C9" s="63" t="inlineStr">
        <is>
          <t>EZIDB0000195-597680473-211</t>
        </is>
      </c>
      <c r="D9" s="63" t="inlineStr">
        <is>
          <t>https://ezws.iadb.org/getdocument.aspx?docnum=EZIDB0000195-360818819-5473</t>
        </is>
      </c>
    </row>
    <row r="10" ht="18" customHeight="1" s="89">
      <c r="A10" s="62" t="inlineStr">
        <is>
          <t>CR-J0002</t>
        </is>
      </c>
      <c r="B10" s="63" t="inlineStr">
        <is>
          <t>Firma autorizada</t>
        </is>
      </c>
      <c r="C10" s="63" t="inlineStr">
        <is>
          <t>EZIDB0000191-1939238704-7</t>
        </is>
      </c>
      <c r="D10" s="63" t="inlineStr">
        <is>
          <t>https://idbg.sharepoint.com/teams/EZ-CR-GRF/CR-J0002/20%20Contracts%20and%20Clauses/Registro%20de%20firmas.pdf</t>
        </is>
      </c>
    </row>
    <row r="11" ht="18" customHeight="1" s="89">
      <c r="A11" s="62" t="inlineStr">
        <is>
          <t>CR-L1151</t>
        </is>
      </c>
      <c r="B11" s="63" t="inlineStr">
        <is>
          <t>Firma autorizada</t>
        </is>
      </c>
      <c r="C11" s="63" t="inlineStr">
        <is>
          <t>EZIDB0000642-138014739-27</t>
        </is>
      </c>
      <c r="D11" s="63" t="inlineStr">
        <is>
          <t>https://ezws.iadb.org/getdocument.aspx?docnum=EZIDB0000642-138014739-27</t>
        </is>
      </c>
    </row>
    <row r="12" ht="18" customHeight="1" s="89">
      <c r="A12" s="62" t="inlineStr">
        <is>
          <t>CR-L1032</t>
        </is>
      </c>
      <c r="B12" s="63" t="inlineStr">
        <is>
          <t>PP - Perfil</t>
        </is>
      </c>
      <c r="C12" s="63" t="inlineStr">
        <is>
          <t>EZSHARE-1939367940-2198</t>
        </is>
      </c>
      <c r="D12" s="63" t="inlineStr">
        <is>
          <t>https://idbg.sharepoint.com/teams/EZ-CR-LON/CR-L1032/_layouts/15/DocIdRedir.aspx?ID=EZSHARE-1939367940-2198</t>
        </is>
      </c>
    </row>
    <row r="13" ht="18" customHeight="1" s="89">
      <c r="A13" s="62" t="inlineStr">
        <is>
          <t>CR-L1066</t>
        </is>
      </c>
      <c r="B13" s="63" t="inlineStr">
        <is>
          <t>PP - Perfil</t>
        </is>
      </c>
      <c r="C13" s="63" t="inlineStr">
        <is>
          <t>EZSHARE-1108381426-6</t>
        </is>
      </c>
      <c r="D13" s="63" t="inlineStr">
        <is>
          <t>https://idbg.sharepoint.com/teams/EZ-CR-LON/CR-L1066/_layouts/15/DocIdRedir.aspx?ID=EZSHARE-1108381426-6</t>
        </is>
      </c>
    </row>
    <row r="14" ht="18" customHeight="1" s="89">
      <c r="A14" s="62" t="inlineStr">
        <is>
          <t>CR-L1137</t>
        </is>
      </c>
      <c r="B14" s="63" t="inlineStr">
        <is>
          <t>PP - Perfil</t>
        </is>
      </c>
      <c r="C14" s="63" t="inlineStr">
        <is>
          <t>EZSHARE-822257051-36</t>
        </is>
      </c>
      <c r="D14" s="63" t="inlineStr">
        <is>
          <t>https://idbg.sharepoint.com/teams/_layouts/15/DocIdRedir.aspx?ID=EZSHARE-822257051-36</t>
        </is>
      </c>
    </row>
    <row r="15" ht="18" customHeight="1" s="89">
      <c r="A15" s="62" t="inlineStr">
        <is>
          <t>CR-L1139</t>
        </is>
      </c>
      <c r="B15" s="63" t="inlineStr">
        <is>
          <t>PP - Perfil</t>
        </is>
      </c>
      <c r="C15" s="63" t="inlineStr">
        <is>
          <t>EZSHARE-1127813953-11</t>
        </is>
      </c>
      <c r="D15" s="63" t="inlineStr">
        <is>
          <t>https://idbg.sharepoint.com/teams/EZ-CR-LON/CR-L1139/_layouts/15/DocIdRedir.aspx?ID=EZSHARE-1127813953-11</t>
        </is>
      </c>
    </row>
    <row r="16" ht="18" customHeight="1" s="89">
      <c r="A16" s="62" t="inlineStr">
        <is>
          <t>CR-J0002</t>
        </is>
      </c>
      <c r="B16" s="63" t="inlineStr">
        <is>
          <t>PP - Perfil</t>
        </is>
      </c>
      <c r="C16" s="63" t="inlineStr">
        <is>
          <t>EZSHARE-883508192-4</t>
        </is>
      </c>
      <c r="D16" s="63" t="inlineStr">
        <is>
          <t>https://idbg.sharepoint.com/teams/ez-cr-grf/cr-j0002/_layouts/15/DocIdRedir.aspx?ID=EZSHARE-883508192-4</t>
        </is>
      </c>
    </row>
    <row r="17" ht="18" customHeight="1" s="89">
      <c r="A17" s="62" t="inlineStr">
        <is>
          <t>CR-L1151</t>
        </is>
      </c>
      <c r="B17" s="63" t="inlineStr">
        <is>
          <t>PP - Perfil</t>
        </is>
      </c>
      <c r="C17" s="63" t="inlineStr">
        <is>
          <t>EZIDB0000642-1318336402-8</t>
        </is>
      </c>
      <c r="D17" s="63" t="inlineStr">
        <is>
          <t>https://idbg.sharepoint.com/teams/ez-CR-L1151/_layouts/15/DocIdRedir.aspx?ID=EZIDB0000642-1318336402-8</t>
        </is>
      </c>
    </row>
    <row r="18" ht="18" customHeight="1" s="89">
      <c r="A18" s="62" t="inlineStr">
        <is>
          <t>CR-L1152</t>
        </is>
      </c>
      <c r="B18" s="63" t="inlineStr">
        <is>
          <t>PP - Perfil</t>
        </is>
      </c>
      <c r="C18" s="63" t="inlineStr">
        <is>
          <t>EZIDB0001251-740809089-3</t>
        </is>
      </c>
      <c r="D18" s="63" t="n"/>
    </row>
    <row r="19" ht="18" customHeight="1" s="89">
      <c r="A19" s="62" t="inlineStr">
        <is>
          <t>CR-L1032</t>
        </is>
      </c>
      <c r="B19" s="63" t="inlineStr">
        <is>
          <t>POD - Proposal Operation Development</t>
        </is>
      </c>
      <c r="C19" s="63" t="inlineStr">
        <is>
          <t>EZSHARE-1939367940-2337</t>
        </is>
      </c>
      <c r="D19" s="63" t="inlineStr">
        <is>
          <t>https://idbg.sharepoint.com/teams/EZ-CR-LON/CR-L1032/_layouts/15/DocIdRedir.aspx?ID=EZSHARE-1939367940-2337</t>
        </is>
      </c>
    </row>
    <row r="20" ht="18" customHeight="1" s="89">
      <c r="A20" s="62" t="inlineStr">
        <is>
          <t>CR-L1065</t>
        </is>
      </c>
      <c r="B20" s="63" t="inlineStr">
        <is>
          <t>POD - Proposal Operation Development</t>
        </is>
      </c>
      <c r="C20" s="63" t="inlineStr">
        <is>
          <t>EZSHARE-998400382-90</t>
        </is>
      </c>
      <c r="D20" s="63" t="inlineStr">
        <is>
          <t>https://idbg.sharepoint.com/teams/EZ-CR-LON/CR-L1065/_layouts/15/DocIdRedir.aspx?ID=EZSHARE-998400382-90</t>
        </is>
      </c>
    </row>
    <row r="21" ht="18" customHeight="1" s="89">
      <c r="A21" s="62" t="inlineStr">
        <is>
          <t>CR-L1066</t>
        </is>
      </c>
      <c r="B21" s="63" t="inlineStr">
        <is>
          <t>POD - Proposal Operation Development</t>
        </is>
      </c>
      <c r="C21" s="63" t="inlineStr">
        <is>
          <t>EZSHARE-1108381426-13</t>
        </is>
      </c>
      <c r="D21" s="63" t="inlineStr">
        <is>
          <t>https://idbg.sharepoint.com/teams/EZ-CR-LON/CR-L1066/_layouts/15/DocIdRedir.aspx?ID=EZSHARE-1108381426-13</t>
        </is>
      </c>
    </row>
    <row r="22" ht="18" customHeight="1" s="89">
      <c r="A22" s="62" t="inlineStr">
        <is>
          <t>CR-L1137</t>
        </is>
      </c>
      <c r="B22" s="63" t="inlineStr">
        <is>
          <t>POD - Proposal Operation Development</t>
        </is>
      </c>
      <c r="C22" s="63" t="inlineStr">
        <is>
          <t>EZSHARE-822257051-128</t>
        </is>
      </c>
      <c r="D22" s="63" t="inlineStr">
        <is>
          <t>https://idbg.sharepoint.com/teams/EZ-CR-LON/CR-L1137/_layouts/15/DocIdRedir.aspx?ID=EZSHARE-822257051-128</t>
        </is>
      </c>
    </row>
    <row r="23" ht="18" customHeight="1" s="89">
      <c r="A23" s="62" t="inlineStr">
        <is>
          <t>CR-L1139</t>
        </is>
      </c>
      <c r="B23" s="63" t="inlineStr">
        <is>
          <t>POD - Proposal Operation Development</t>
        </is>
      </c>
      <c r="C23" s="63" t="inlineStr">
        <is>
          <t>EZSHARE-1127813953-37</t>
        </is>
      </c>
      <c r="D23" s="63" t="inlineStr">
        <is>
          <t>https://idbg.sharepoint.com/teams/EZ-CR-LON/CR-L1139/_layouts/15/DocIdRedir.aspx?ID=EZSHARE-1127813953-37</t>
        </is>
      </c>
    </row>
    <row r="24" ht="18" customHeight="1" s="89">
      <c r="A24" s="62" t="inlineStr">
        <is>
          <t>CR-J0002</t>
        </is>
      </c>
      <c r="B24" s="63" t="inlineStr">
        <is>
          <t>POD - Proposal Operation Development</t>
        </is>
      </c>
      <c r="C24" s="63" t="inlineStr">
        <is>
          <t>EZSHARE-883508192-35</t>
        </is>
      </c>
      <c r="D24" s="63" t="inlineStr">
        <is>
          <t>https://idbg.sharepoint.com/teams/ez-cr-grf/cr-j0002/_layouts/15/DocIdRedir.aspx?ID=EZSHARE-883508192-35</t>
        </is>
      </c>
    </row>
    <row r="25" ht="18" customHeight="1" s="89">
      <c r="A25" s="62" t="inlineStr">
        <is>
          <t>CR-L1151</t>
        </is>
      </c>
      <c r="B25" s="63" t="inlineStr">
        <is>
          <t>POD - Proposal Operation Development</t>
        </is>
      </c>
      <c r="C25" s="63" t="inlineStr">
        <is>
          <t>EZIDB0000642-1318336402-80</t>
        </is>
      </c>
      <c r="D25" s="63" t="inlineStr">
        <is>
          <t>https://idbg.sharepoint.com/teams/ez-CR-L1151/_layouts/15/DocIdRedir.aspx?ID=EZIDB0000642-1318336402-80</t>
        </is>
      </c>
    </row>
    <row r="26" ht="18" customHeight="1" s="89">
      <c r="A26" s="62" t="inlineStr">
        <is>
          <t>CR-L1157</t>
        </is>
      </c>
      <c r="B26" s="63" t="inlineStr">
        <is>
          <t>POD - Proposal Operation Development</t>
        </is>
      </c>
      <c r="C26" s="63" t="inlineStr">
        <is>
          <t>EZIDB0003356-1949740866-371</t>
        </is>
      </c>
      <c r="D26" s="63" t="inlineStr">
        <is>
          <t>https://idbg.sharepoint.com/teams/ez-CR-L1157/_layouts/15/DocIdRedir.aspx?ID=EZIDB0003356-1949740866-371</t>
        </is>
      </c>
    </row>
    <row r="27" ht="18" customHeight="1" s="89">
      <c r="A27" s="62" t="inlineStr">
        <is>
          <t>CR-L1032</t>
        </is>
      </c>
      <c r="B27" s="63" t="inlineStr">
        <is>
          <t>LP - Loan proposal</t>
        </is>
      </c>
      <c r="C27" s="63" t="inlineStr">
        <is>
          <t>EZSHARE-1939367940-17</t>
        </is>
      </c>
      <c r="D27" s="63" t="inlineStr">
        <is>
          <t>https://idbg.sharepoint.com/teams/EZ-CR-LON/CR-L1032/_layouts/15/DocIdRedir.aspx?ID=EZSHARE-1939367940-17</t>
        </is>
      </c>
    </row>
    <row r="28" ht="18" customHeight="1" s="89">
      <c r="A28" s="62" t="inlineStr">
        <is>
          <t>CR-L1066</t>
        </is>
      </c>
      <c r="B28" s="63" t="inlineStr">
        <is>
          <t>LP - Loan proposal</t>
        </is>
      </c>
      <c r="C28" s="63" t="inlineStr">
        <is>
          <t>EZSHARE-1108381426-7</t>
        </is>
      </c>
      <c r="D28" s="63" t="inlineStr">
        <is>
          <t>https://idbg.sharepoint.com/teams/EZ-CR-LON/CR-L1066/_layouts/15/DocIdRedir.aspx?ID=EZSHARE-1108381426-7</t>
        </is>
      </c>
    </row>
    <row r="29" ht="18" customHeight="1" s="89">
      <c r="A29" s="62" t="inlineStr">
        <is>
          <t>CR-L1137</t>
        </is>
      </c>
      <c r="B29" s="63" t="inlineStr">
        <is>
          <t>LP - Loan proposal</t>
        </is>
      </c>
      <c r="C29" s="63" t="inlineStr">
        <is>
          <t>EZSHARE-822257051-128</t>
        </is>
      </c>
      <c r="D29" s="63" t="inlineStr">
        <is>
          <t>https://idbg.sharepoint.com/teams/EZ-CR-LON/CR-L1137/_layouts/15/DocIdRedir.aspx?ID=EZSHARE-822257051-128</t>
        </is>
      </c>
    </row>
    <row r="30" ht="18" customHeight="1" s="89">
      <c r="A30" s="62" t="inlineStr">
        <is>
          <t>CR-L1139</t>
        </is>
      </c>
      <c r="B30" s="63" t="inlineStr">
        <is>
          <t>LP - Loan proposal</t>
        </is>
      </c>
      <c r="C30" s="63" t="inlineStr">
        <is>
          <t>EZSHARE-1127813953-40</t>
        </is>
      </c>
      <c r="D30" s="63" t="inlineStr">
        <is>
          <t>https://idbg.sharepoint.com/teams/EZ-CR-LON/CR-L1139/_layouts/15/DocIdRedir.aspx?ID=EZSHARE-1127813953-40</t>
        </is>
      </c>
    </row>
    <row r="31" ht="18" customHeight="1" s="89">
      <c r="A31" s="62" t="inlineStr">
        <is>
          <t>CR-J0002</t>
        </is>
      </c>
      <c r="B31" s="63" t="inlineStr">
        <is>
          <t>LP - Loan proposal</t>
        </is>
      </c>
      <c r="C31" s="63" t="inlineStr">
        <is>
          <t>EZIDB0000191-883508192-51</t>
        </is>
      </c>
      <c r="D31" s="63" t="inlineStr">
        <is>
          <t>https://idbg.sharepoint.com/teams/ez-cr-grf/cr-j0002/_layouts/15/DocIdRedir.aspx?ID=EZIDB0000191-883508192-51</t>
        </is>
      </c>
    </row>
    <row r="32" ht="18" customHeight="1" s="89">
      <c r="A32" s="62" t="inlineStr">
        <is>
          <t>CR-L1152</t>
        </is>
      </c>
      <c r="B32" s="63" t="inlineStr">
        <is>
          <t>LP - Loan proposal</t>
        </is>
      </c>
      <c r="C32" s="63" t="inlineStr">
        <is>
          <t>EZIDB0000820-774303543-66</t>
        </is>
      </c>
      <c r="D32" s="63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3" ht="18" customHeight="1" s="89">
      <c r="A33" s="62" t="inlineStr">
        <is>
          <t>CR-L1157</t>
        </is>
      </c>
      <c r="B33" s="63" t="inlineStr">
        <is>
          <t>LP - Loan proposal</t>
        </is>
      </c>
      <c r="C33" s="63" t="inlineStr">
        <is>
          <t>EZIDB0003356-1949740866-372</t>
        </is>
      </c>
      <c r="D33" s="63" t="inlineStr">
        <is>
          <t>https://idbg.sharepoint.com/teams/ez-CR-L1157/_layouts/15/DocIdRedir.aspx?ID=EZIDB0003356-1949740866-372</t>
        </is>
      </c>
    </row>
    <row r="34" ht="18" customHeight="1" s="89">
      <c r="A34" s="62" t="inlineStr">
        <is>
          <t>CR-L1032</t>
        </is>
      </c>
      <c r="B34" s="63" t="inlineStr">
        <is>
          <t>LC - Loan contract signed</t>
        </is>
      </c>
      <c r="C34" s="63" t="inlineStr">
        <is>
          <t>EZIDB0000195-246772048-19</t>
        </is>
      </c>
      <c r="D34" s="63" t="inlineStr">
        <is>
          <t>https://idbg.sharepoint.com/teams/EZ-CR-LON/CR-L1032/_layouts/15/DocIdRedir.aspx?ID=EZIDB0000195-246772048-19</t>
        </is>
      </c>
    </row>
    <row r="35" ht="18" customHeight="1" s="89">
      <c r="A35" s="62" t="inlineStr">
        <is>
          <t>CR-L1032</t>
        </is>
      </c>
      <c r="B35" s="63" t="inlineStr">
        <is>
          <t>LC - Loan contract signed</t>
        </is>
      </c>
      <c r="C35" s="63" t="inlineStr">
        <is>
          <t>EZIDB0000195-246772048-20</t>
        </is>
      </c>
      <c r="D35" s="63" t="inlineStr">
        <is>
          <t>https://idbg.sharepoint.com/teams/EZ-CR-LON/CR-L1032/_layouts/15/DocIdRedir.aspx?ID=EZIDB0000195-246772048-20</t>
        </is>
      </c>
    </row>
    <row r="36" ht="18" customHeight="1" s="89">
      <c r="A36" s="62" t="inlineStr">
        <is>
          <t>CR-L1065</t>
        </is>
      </c>
      <c r="B36" s="63" t="inlineStr">
        <is>
          <t>LC - Loan contract signed</t>
        </is>
      </c>
      <c r="C36" s="63" t="inlineStr">
        <is>
          <t>EZSHARE-998400382-89</t>
        </is>
      </c>
      <c r="D36" s="63" t="inlineStr">
        <is>
          <t>https://idbg.sharepoint.com/teams/EZ-CR-LON/CR-L1065/_layouts/15/DocIdRedir.aspx?ID=EZSHARE-998400382-89</t>
        </is>
      </c>
    </row>
    <row r="37" ht="18" customHeight="1" s="89">
      <c r="A37" s="62" t="inlineStr">
        <is>
          <t>CR-L1066</t>
        </is>
      </c>
      <c r="B37" s="63" t="inlineStr">
        <is>
          <t>LC - Loan contract signed</t>
        </is>
      </c>
      <c r="C37" s="63" t="inlineStr">
        <is>
          <t>EZSHARE-1108381426-8</t>
        </is>
      </c>
      <c r="D37" s="63" t="inlineStr">
        <is>
          <t>https://idbg.sharepoint.com/teams/EZ-CR-LON/CR-L1066/_layouts/15/DocIdRedir.aspx?ID=EZSHARE-1108381426-8</t>
        </is>
      </c>
    </row>
    <row r="38" ht="18" customHeight="1" s="89">
      <c r="A38" s="62" t="inlineStr">
        <is>
          <t>CR-L1137</t>
        </is>
      </c>
      <c r="B38" s="63" t="inlineStr">
        <is>
          <t>LC - Loan contract signed</t>
        </is>
      </c>
      <c r="C38" s="63" t="inlineStr">
        <is>
          <t>EZSHARE-822257051-196</t>
        </is>
      </c>
      <c r="D38" s="63" t="inlineStr">
        <is>
          <t>https://idbg.sharepoint.com/teams/EZ-CR-LON/CR-L1137/_layouts/15/DocIdRedir.aspx?ID=EZSHARE-822257051-196</t>
        </is>
      </c>
    </row>
    <row r="39" ht="18" customHeight="1" s="89">
      <c r="A39" s="62" t="inlineStr">
        <is>
          <t>CR-L1139</t>
        </is>
      </c>
      <c r="B39" s="63" t="inlineStr">
        <is>
          <t>LC - Loan contract signed</t>
        </is>
      </c>
      <c r="C39" s="63" t="inlineStr">
        <is>
          <t>EZSHARE-1127813953-44</t>
        </is>
      </c>
      <c r="D39" s="63" t="inlineStr">
        <is>
          <t>https://idbg.sharepoint.com/teams/EZ-CR-LON/CR-L1139/_layouts/15/DocIdRedir.aspx?ID=EZSHARE-1127813953-44</t>
        </is>
      </c>
    </row>
    <row r="40" ht="18" customHeight="1" s="89">
      <c r="A40" s="62" t="inlineStr">
        <is>
          <t>CR-J0002</t>
        </is>
      </c>
      <c r="B40" s="63" t="inlineStr">
        <is>
          <t>LC - Loan contract signed</t>
        </is>
      </c>
      <c r="C40" s="63" t="inlineStr">
        <is>
          <t>EZIDB0000191-883508192-57</t>
        </is>
      </c>
      <c r="D40" s="63" t="inlineStr">
        <is>
          <t>https://idbg.sharepoint.com/teams/ez-cr-grf/cr-j0002/_layouts/15/DocIdRedir.aspx?ID=EZIDB0000191-883508192-57</t>
        </is>
      </c>
    </row>
    <row r="41" ht="18" customHeight="1" s="89">
      <c r="A41" s="62" t="inlineStr">
        <is>
          <t>CR-L1151</t>
        </is>
      </c>
      <c r="B41" s="63" t="inlineStr">
        <is>
          <t>LC - Loan contract signed</t>
        </is>
      </c>
      <c r="C41" s="63" t="inlineStr">
        <is>
          <t>EZIDB0000642-1318336402-79</t>
        </is>
      </c>
      <c r="D41" s="63" t="inlineStr">
        <is>
          <t>https://idbg.sharepoint.com/teams/ez-CR-L1151/_layouts/15/DocIdRedir.aspx?ID=EZIDB0000642-1318336402-79</t>
        </is>
      </c>
    </row>
    <row r="42" ht="18" customHeight="1" s="89">
      <c r="A42" s="62" t="inlineStr">
        <is>
          <t>CR-L1157</t>
        </is>
      </c>
      <c r="B42" s="63" t="inlineStr">
        <is>
          <t>LC - Loan contract signed</t>
        </is>
      </c>
      <c r="C42" s="63" t="inlineStr">
        <is>
          <t>EZIDB0003356-828744887-5</t>
        </is>
      </c>
      <c r="D42" s="63" t="inlineStr">
        <is>
          <t>https://idbg.sharepoint.com/teams/ez-CR-L1157/_layouts/15/DocIdRedir.aspx?ID=EZIDB0003356-1949740866-375</t>
        </is>
      </c>
    </row>
    <row r="43" ht="18" customHeight="1" s="89">
      <c r="A43" s="62" t="inlineStr">
        <is>
          <t>CR-L1032</t>
        </is>
      </c>
      <c r="B43" s="63" t="inlineStr">
        <is>
          <t>Ratificacion en AL</t>
        </is>
      </c>
      <c r="C43" s="63" t="inlineStr">
        <is>
          <t>39376682</t>
        </is>
      </c>
      <c r="D43" s="63" t="inlineStr">
        <is>
          <t>https://idbdocs.iadb.org/wsdocs/getDocument.aspx?DOCNUM=39376682</t>
        </is>
      </c>
    </row>
    <row r="44" ht="18" customHeight="1" s="89">
      <c r="A44" s="62" t="inlineStr">
        <is>
          <t>CR-L1066</t>
        </is>
      </c>
      <c r="B44" s="63" t="inlineStr">
        <is>
          <t>Ratificacion en AL</t>
        </is>
      </c>
      <c r="C44" s="63" t="inlineStr">
        <is>
          <t>EZIDB0000195-1108381426-32</t>
        </is>
      </c>
      <c r="D44" s="63" t="inlineStr">
        <is>
          <t>https://idbg.sharepoint.com/teams/EZ-CR-LON/CR-L1066/_layouts/15/DocIdRedir.aspx?ID=EZIDB0000195-1108381426-32</t>
        </is>
      </c>
    </row>
    <row r="45" ht="18" customHeight="1" s="89">
      <c r="A45" s="62" t="inlineStr">
        <is>
          <t>CR-L1137</t>
        </is>
      </c>
      <c r="B45" s="63" t="inlineStr">
        <is>
          <t>Ratificacion en AL</t>
        </is>
      </c>
      <c r="C45" s="63" t="inlineStr">
        <is>
          <t>EZSHARE-131707176-20</t>
        </is>
      </c>
      <c r="D45" s="63" t="inlineStr">
        <is>
          <t>https://idbg.sharepoint.com/teams/EZ-CR-LON/CR-L1137/_layouts/15/DocIdRedir.aspx?ID=EZSHARE-131707176-20</t>
        </is>
      </c>
    </row>
    <row r="46" ht="18" customHeight="1" s="89">
      <c r="A46" s="62" t="inlineStr">
        <is>
          <t>CR-L1139</t>
        </is>
      </c>
      <c r="B46" s="63" t="inlineStr">
        <is>
          <t>Ratificacion en AL</t>
        </is>
      </c>
      <c r="C46" s="63" t="inlineStr">
        <is>
          <t>EZSHARE-1854815960-70</t>
        </is>
      </c>
      <c r="D46" s="63" t="inlineStr">
        <is>
          <t>https://idbg.sharepoint.com/teams/EZ-CR-LON/CR-L1139/_layouts/15/DocIdRedir.aspx?ID=EZSHARE-1854815960-70</t>
        </is>
      </c>
    </row>
    <row r="47" ht="18" customHeight="1" s="89">
      <c r="A47" s="62" t="inlineStr">
        <is>
          <t>CR-L1157</t>
        </is>
      </c>
      <c r="B47" s="63" t="inlineStr">
        <is>
          <t>Policy waivers - consultive notes</t>
        </is>
      </c>
      <c r="C47" s="63" t="inlineStr">
        <is>
          <t>EZIDB0003356-1949740866-374</t>
        </is>
      </c>
      <c r="D47" s="63" t="inlineStr">
        <is>
          <t>https://idbg.sharepoint.com/teams/ez-CR-L1157/_layouts/15/DocIdRedir.aspx?ID=EZIDB0003356-1949740866-374</t>
        </is>
      </c>
    </row>
    <row r="48" ht="18" customHeight="1" s="89">
      <c r="A48" s="62" t="inlineStr">
        <is>
          <t>CR-L1032</t>
        </is>
      </c>
      <c r="B48" s="63" t="inlineStr">
        <is>
          <t>ROP - Operative manual</t>
        </is>
      </c>
      <c r="C48" s="63" t="inlineStr">
        <is>
          <t>EZIDB0000195-246772048-18</t>
        </is>
      </c>
      <c r="D48" s="63" t="inlineStr">
        <is>
          <t>https://idbg.sharepoint.com/teams/EZ-CR-LON/CR-L1032/_layouts/15/DocIdRedir.aspx?ID=EZIDB0000195-246772048-18</t>
        </is>
      </c>
    </row>
    <row r="49" ht="18" customHeight="1" s="89">
      <c r="A49" s="62" t="inlineStr">
        <is>
          <t>CR-L1065</t>
        </is>
      </c>
      <c r="B49" s="63" t="inlineStr">
        <is>
          <t>ROP - Operative manual</t>
        </is>
      </c>
      <c r="C49" s="63" t="inlineStr">
        <is>
          <t>EZIDB0000195-998400382-107</t>
        </is>
      </c>
      <c r="D49" s="63" t="inlineStr">
        <is>
          <t>https://idbg.sharepoint.com/teams/EZ-CR-LON/CR-L1065/_layouts/15/DocIdRedir.aspx?ID=EZIDB0000195-998400382-107</t>
        </is>
      </c>
    </row>
    <row r="50" ht="18" customHeight="1" s="89">
      <c r="A50" s="62" t="inlineStr">
        <is>
          <t>CR-L1066</t>
        </is>
      </c>
      <c r="B50" s="63" t="inlineStr">
        <is>
          <t>ROP - Operative manual</t>
        </is>
      </c>
      <c r="C50" s="63" t="inlineStr">
        <is>
          <t>EZSHARE-1108381426-21</t>
        </is>
      </c>
      <c r="D50" s="63" t="inlineStr">
        <is>
          <t>https://idbg.sharepoint.com/teams/EZ-CR-LON/CR-L1066/_layouts/15/DocIdRedir.aspx?ID=EZSHARE-1108381426-21</t>
        </is>
      </c>
    </row>
    <row r="51" ht="18" customHeight="1" s="89">
      <c r="A51" s="62" t="inlineStr">
        <is>
          <t>CR-L1137</t>
        </is>
      </c>
      <c r="B51" s="63" t="inlineStr">
        <is>
          <t>ROP - Operative manual</t>
        </is>
      </c>
      <c r="C51" s="63" t="inlineStr">
        <is>
          <t>EZIDB0000195-822257051-219</t>
        </is>
      </c>
      <c r="D51" s="63" t="inlineStr">
        <is>
          <t>https://idbg.sharepoint.com/teams/EZ-CR-LON/CR-L1066/_layouts/15/DocIdRedir.aspx?ID=EZIDB0000195-822257051-219</t>
        </is>
      </c>
    </row>
    <row r="52" ht="18" customHeight="1" s="89">
      <c r="A52" s="62" t="inlineStr">
        <is>
          <t>CR-L1139</t>
        </is>
      </c>
      <c r="B52" s="63" t="inlineStr">
        <is>
          <t>ROP - Operative manual</t>
        </is>
      </c>
      <c r="C52" s="63" t="inlineStr">
        <is>
          <t>EZIDB0000195-1127813953-74</t>
        </is>
      </c>
      <c r="D52" s="63" t="inlineStr">
        <is>
          <t>https://idbg.sharepoint.com/teams/EZ-CR-LON/CR-L1139/_layouts/15/DocIdRedir.aspx?ID=EZIDB0000195-1127813953-74</t>
        </is>
      </c>
    </row>
    <row r="53" ht="18" customHeight="1" s="89">
      <c r="A53" s="62" t="inlineStr">
        <is>
          <t>CR-J0002</t>
        </is>
      </c>
      <c r="B53" s="63" t="inlineStr">
        <is>
          <t>ROP - Operative manual</t>
        </is>
      </c>
      <c r="C53" s="63" t="inlineStr">
        <is>
          <t>EZIDB0000191-1939238704-4</t>
        </is>
      </c>
      <c r="D53" s="63" t="inlineStr">
        <is>
          <t>https://idbg.sharepoint.com/teams/ez-cr-grf/cr-j0002/_layouts/15/DocIdRedir.aspx?ID=EZIDB0000191-1939238704-4</t>
        </is>
      </c>
    </row>
    <row r="54" ht="18" customHeight="1" s="89">
      <c r="A54" s="62" t="inlineStr">
        <is>
          <t>CR-L1151</t>
        </is>
      </c>
      <c r="B54" s="63" t="inlineStr">
        <is>
          <t>ROP - Operative manual</t>
        </is>
      </c>
      <c r="C54" s="63" t="inlineStr">
        <is>
          <t>EZIDB0000642-138014739-42</t>
        </is>
      </c>
      <c r="D54" s="63" t="inlineStr">
        <is>
          <t>https://idbg.sharepoint.com/teams/ez-CR-L1151/_layouts/15/DocIdRedir.aspx?ID=EZIDB0000642-138014739-42</t>
        </is>
      </c>
    </row>
    <row r="55" ht="18" customHeight="1" s="89">
      <c r="A55" s="62" t="inlineStr">
        <is>
          <t>CR-L1032</t>
        </is>
      </c>
      <c r="B55" s="63" t="inlineStr">
        <is>
          <t>PF - Financial plan</t>
        </is>
      </c>
      <c r="C55" s="63" t="inlineStr">
        <is>
          <t>EZIDB0000642-1318336402-81</t>
        </is>
      </c>
      <c r="D55" s="63" t="inlineStr">
        <is>
          <t>https://idbg.sharepoint.com/teams/ez-CR-L1151/_layouts/15/DocIdRedir.aspx?ID=EZIDB0000642-1318336402-81</t>
        </is>
      </c>
    </row>
    <row r="56" ht="18" customHeight="1" s="89">
      <c r="A56" s="62" t="inlineStr">
        <is>
          <t>CR-L1065</t>
        </is>
      </c>
      <c r="B56" s="63" t="inlineStr">
        <is>
          <t>PF - Financial plan</t>
        </is>
      </c>
      <c r="C56" s="63" t="inlineStr">
        <is>
          <t>EZIDB0000195-998400382-110</t>
        </is>
      </c>
      <c r="D56" s="63" t="inlineStr">
        <is>
          <t>https://idbg.sharepoint.com/teams/EZ-CR-LON/CR-L1065/_layouts/15/DocIdRedir.aspx?ID=EZIDB0000195-998400382-110</t>
        </is>
      </c>
    </row>
    <row r="57" ht="18" customHeight="1" s="89">
      <c r="A57" s="62" t="inlineStr">
        <is>
          <t>CR-L1137</t>
        </is>
      </c>
      <c r="B57" s="63" t="inlineStr">
        <is>
          <t>PF - Financial plan</t>
        </is>
      </c>
      <c r="C57" s="63" t="inlineStr">
        <is>
          <t>EZIDB0000195-822257051-222</t>
        </is>
      </c>
      <c r="D57" s="63" t="inlineStr">
        <is>
          <t>https://idbg.sharepoint.com/teams/EZ-CR-LON/CR-L1137/_layouts/15/DocIdRedir.aspx?ID=EZIDB0000195-822257051-222</t>
        </is>
      </c>
    </row>
    <row r="58" ht="18" customHeight="1" s="89">
      <c r="A58" s="62" t="inlineStr">
        <is>
          <t>CR-L1139</t>
        </is>
      </c>
      <c r="B58" s="63" t="inlineStr">
        <is>
          <t>PF - Financial plan</t>
        </is>
      </c>
      <c r="C58" s="63" t="inlineStr">
        <is>
          <t>EZIDB0000195-1127813953-75</t>
        </is>
      </c>
      <c r="D58" s="63" t="inlineStr">
        <is>
          <t>https://idbg.sharepoint.com/teams/ez-CR-L1151/_layouts/15/DocIdRedir.aspx?ID=EZIDB0000642-1318336402-81</t>
        </is>
      </c>
    </row>
    <row r="59" ht="18" customHeight="1" s="89">
      <c r="A59" s="62" t="inlineStr">
        <is>
          <t>CR-L1157</t>
        </is>
      </c>
      <c r="B59" s="63" t="inlineStr">
        <is>
          <t>Firma autorizada</t>
        </is>
      </c>
      <c r="C59" s="63" t="inlineStr">
        <is>
          <t>EZIDB0003356-828744887-9</t>
        </is>
      </c>
      <c r="D59" s="63" t="inlineStr">
        <is>
          <t>https://idbg.sharepoint.com/teams/ez-CR-L1157/_layouts/15/DocIdRedir.aspx?ID=EZIDB0003356-828744887-9</t>
        </is>
      </c>
    </row>
    <row r="60" ht="18" customHeight="1" s="89">
      <c r="A60" s="62" t="inlineStr">
        <is>
          <t>CR-L1151</t>
        </is>
      </c>
      <c r="B60" s="63" t="inlineStr">
        <is>
          <t>PF - Financial plan</t>
        </is>
      </c>
      <c r="C60" s="63" t="inlineStr">
        <is>
          <t>EZIDB0000642-1318336402-81</t>
        </is>
      </c>
      <c r="D60" s="63" t="inlineStr">
        <is>
          <t>https://idbg.sharepoint.com/teams/ez-CR-L1151/_layouts/15/DocIdRedir.aspx?ID=EZIDB0000642-1318336402-81</t>
        </is>
      </c>
    </row>
  </sheetData>
  <autoFilter ref="A3:D60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21"/>
  <sheetViews>
    <sheetView zoomScale="110" zoomScaleNormal="110" workbookViewId="0">
      <pane xSplit="2" topLeftCell="C1" activePane="topRight" state="frozen"/>
      <selection pane="topRight" activeCell="K24" sqref="K24"/>
    </sheetView>
  </sheetViews>
  <sheetFormatPr baseColWidth="8" defaultRowHeight="14.4"/>
  <cols>
    <col width="23.5546875" customWidth="1" style="89" min="2" max="2"/>
    <col width="35.5546875" bestFit="1" customWidth="1" style="89" min="3" max="3"/>
    <col width="34.33203125" bestFit="1" customWidth="1" style="89" min="4" max="4"/>
    <col width="31.33203125" bestFit="1" customWidth="1" style="89" min="5" max="5"/>
    <col width="35.33203125" bestFit="1" customWidth="1" style="89" min="6" max="6"/>
    <col width="35.5546875" bestFit="1" customWidth="1" style="89" min="7" max="7"/>
    <col width="30.6640625" bestFit="1" customWidth="1" style="89" min="8" max="8"/>
    <col width="35.5546875" bestFit="1" customWidth="1" style="89" min="9" max="9"/>
    <col width="36.6640625" bestFit="1" customWidth="1" style="89" min="10" max="10"/>
    <col width="35.33203125" bestFit="1" customWidth="1" style="89" min="11" max="11"/>
  </cols>
  <sheetData>
    <row r="1">
      <c r="B1" s="1" t="inlineStr">
        <is>
          <t>Fecha revision</t>
        </is>
      </c>
    </row>
    <row r="2">
      <c r="B2" s="6" t="n">
        <v>46162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POSADAS, ARNALDO ENRIQUE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SAIZ, ANA MARIA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</row>
    <row r="8">
      <c r="B8" s="3" t="inlineStr">
        <is>
          <t>Jefe de Equipo alterno</t>
        </is>
      </c>
      <c r="C8" s="5" t="n"/>
      <c r="D8" s="5" t="n"/>
      <c r="E8" s="5" t="n"/>
      <c r="F8" s="5" t="n"/>
      <c r="G8" s="5" t="n"/>
      <c r="H8" s="5" t="n"/>
      <c r="I8" s="5" t="n"/>
      <c r="J8" s="5" t="inlineStr">
        <is>
          <t>BIEHL, MARIA LORETO</t>
        </is>
      </c>
      <c r="K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</row>
    <row r="10">
      <c r="B10" s="3" t="inlineStr">
        <is>
          <t>Abogado alterno</t>
        </is>
      </c>
      <c r="C10" s="5" t="n"/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</row>
    <row r="15">
      <c r="B15" s="3" t="inlineStr">
        <is>
          <t>Equipo de ESG</t>
        </is>
      </c>
      <c r="C15" s="5" t="n"/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</row>
    <row r="16">
      <c r="B16" s="3" t="inlineStr">
        <is>
          <t>Analista 1</t>
        </is>
      </c>
      <c r="C16" s="7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K18" s="5" t="inlineStr">
        <is>
          <t>VIVIANA NUNEZ DE URQUIDI</t>
        </is>
      </c>
    </row>
    <row r="19">
      <c r="B19" s="3" t="inlineStr">
        <is>
          <t>Analista 4</t>
        </is>
      </c>
      <c r="C19" s="5" t="inlineStr">
        <is>
          <t>QUIROS SOLANO,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</row>
    <row r="21">
      <c r="B21" s="3" t="inlineStr">
        <is>
          <t>Analista 6</t>
        </is>
      </c>
      <c r="C21" s="5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41"/>
  <sheetViews>
    <sheetView topLeftCell="A19" zoomScale="90" zoomScaleNormal="90" workbookViewId="0">
      <selection activeCell="D17" sqref="D17"/>
    </sheetView>
  </sheetViews>
  <sheetFormatPr baseColWidth="8" defaultColWidth="8.88671875" defaultRowHeight="14.4"/>
  <cols>
    <col width="2.6640625" customWidth="1" style="85" min="1" max="1"/>
    <col width="12" customWidth="1" style="85" min="2" max="2"/>
    <col width="46.5546875" customWidth="1" style="85" min="3" max="3"/>
    <col width="12.33203125" customWidth="1" style="85" min="4" max="4"/>
    <col width="39.6640625" customWidth="1" style="85" min="5" max="5"/>
    <col width="37.109375" customWidth="1" style="85" min="6" max="6"/>
    <col width="69.33203125" customWidth="1" style="85" min="7" max="7"/>
    <col width="8.88671875" customWidth="1" style="85" min="8" max="10"/>
    <col width="8.88671875" customWidth="1" style="85" min="11" max="16384"/>
  </cols>
  <sheetData>
    <row r="2" ht="37.5" customHeight="1" s="89" thickBot="1">
      <c r="B2" s="38" t="inlineStr">
        <is>
          <t>Fecha de corte: 06 abril 2026</t>
        </is>
      </c>
    </row>
    <row r="3" ht="18.6" customHeight="1" s="89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28.95" customHeight="1" s="89">
      <c r="B4" s="12" t="inlineStr">
        <is>
          <t>CR-L1137</t>
        </is>
      </c>
      <c r="C4" s="84" t="inlineStr">
        <is>
          <t xml:space="preserve">Departamentos de la FP capacitados en análisis criminal y monitoreo de dinámicas delictivas </t>
        </is>
      </c>
      <c r="D4" s="14" t="inlineStr">
        <is>
          <t>Logrado</t>
        </is>
      </c>
      <c r="E4" s="15" t="n"/>
      <c r="F4" s="15" t="n"/>
    </row>
    <row r="5" ht="28.95" customHeight="1" s="89">
      <c r="B5" s="17" t="inlineStr">
        <is>
          <t>CR-L1137</t>
        </is>
      </c>
      <c r="C5" s="18" t="inlineStr">
        <is>
          <t>Estrategias policiales basadas en evidencia diseñadas e implementadas</t>
        </is>
      </c>
      <c r="D5" s="19" t="inlineStr">
        <is>
          <t>En tiempo</t>
        </is>
      </c>
    </row>
    <row r="6" ht="28.95" customHeight="1" s="89">
      <c r="B6" s="17" t="inlineStr">
        <is>
          <t>CR-L1137</t>
        </is>
      </c>
      <c r="C6" s="18" t="inlineStr">
        <is>
          <t>Delegaciones diseñadas, construidas, equipadas y operando bajo el enfoque de policía comunitaria</t>
        </is>
      </c>
      <c r="D6" s="19" t="inlineStr">
        <is>
          <t>En tiempo</t>
        </is>
      </c>
      <c r="E6" s="85" t="inlineStr">
        <is>
          <t>DP Limón y El Roble</t>
        </is>
      </c>
      <c r="F6" s="18" t="inlineStr">
        <is>
          <t>Procesos estimados para finalizar en 2027 cerca del fin del plazo de desembolsos</t>
        </is>
      </c>
    </row>
    <row r="7" ht="43.2" customHeight="1" s="89">
      <c r="B7" s="17" t="inlineStr">
        <is>
          <t>CR-L1137</t>
        </is>
      </c>
      <c r="C7" s="18" t="inlineStr">
        <is>
          <t>Centro de Mando y Control Policial construido, equipado y en funcionamiento</t>
        </is>
      </c>
      <c r="D7" s="19" t="inlineStr">
        <is>
          <t>En tiempo</t>
        </is>
      </c>
      <c r="E7" s="18" t="inlineStr">
        <is>
          <t>D+C obra y adenda para suministro de equipo</t>
        </is>
      </c>
      <c r="F7" s="18" t="inlineStr">
        <is>
          <t xml:space="preserve">Adenda para incorporar equipo tecnológico tiene un plazo de ejecución cercano a la finalización del programa. </t>
        </is>
      </c>
    </row>
    <row r="8" ht="57.6" customHeight="1" s="89">
      <c r="B8" s="22" t="inlineStr">
        <is>
          <t>CR-L1137</t>
        </is>
      </c>
      <c r="C8" s="23" t="inlineStr">
        <is>
          <t>Estrategia de comunicación social de los CCP, diseñada e implementada</t>
        </is>
      </c>
      <c r="D8" s="24" t="inlineStr">
        <is>
          <t>Logrado</t>
        </is>
      </c>
      <c r="E8" s="25" t="n"/>
      <c r="F8" s="25" t="n"/>
    </row>
    <row r="9" ht="57.6" customHeight="1" s="89">
      <c r="B9" s="17" t="inlineStr">
        <is>
          <t>CR-L1137</t>
        </is>
      </c>
      <c r="C9" s="18" t="inlineStr">
        <is>
          <t>Municipalidades y grupos de sociedad civil capacitados y en prevención de violencia</t>
        </is>
      </c>
      <c r="D9" s="19" t="inlineStr">
        <is>
          <t>Logrado</t>
        </is>
      </c>
    </row>
    <row r="10" ht="57.6" customHeight="1" s="89">
      <c r="B10" s="17" t="inlineStr">
        <is>
          <t>CR-L1137</t>
        </is>
      </c>
      <c r="C10" s="18" t="inlineStr">
        <is>
          <t>Centros Cívicos diseñados, construidos, equipados y operando</t>
        </is>
      </c>
      <c r="D10" s="21" t="inlineStr">
        <is>
          <t>Retrasado</t>
        </is>
      </c>
      <c r="E10" s="18" t="inlineStr">
        <is>
          <t>CCP Perez Zeledón, San José y Goicoechea</t>
        </is>
      </c>
      <c r="F10" s="18" t="inlineStr">
        <is>
          <t>Procesos estimados para finalizar en 2027 cerca del fin del plazo de desembolsos. Avance físico limitado con riesgo de finalizar con retraso.</t>
        </is>
      </c>
    </row>
    <row r="11" ht="58.2" customHeight="1" s="89" thickBot="1">
      <c r="B11" s="27" t="inlineStr">
        <is>
          <t>CR-L1137</t>
        </is>
      </c>
      <c r="C11" s="28" t="inlineStr">
        <is>
          <t xml:space="preserve">Modelo de gestión y atención de los CCP homologado, fortalecido y en funcionamiento </t>
        </is>
      </c>
      <c r="D11" s="29" t="inlineStr">
        <is>
          <t>En tiempo</t>
        </is>
      </c>
      <c r="E11" s="30" t="n"/>
      <c r="F11" s="30" t="n"/>
    </row>
    <row r="12" ht="43.2" customHeight="1" s="89" thickBot="1">
      <c r="B12" s="12" t="inlineStr">
        <is>
          <t>CR-J0002</t>
        </is>
      </c>
      <c r="C12" s="84" t="inlineStr">
        <is>
          <t>Procesos de regularización realizados como parte del apoyo al mecanismo de regularización de personas migrantes</t>
        </is>
      </c>
      <c r="D12" s="32" t="inlineStr">
        <is>
          <t>Retrasado</t>
        </is>
      </c>
      <c r="E12" s="84" t="inlineStr">
        <is>
          <t>Contratación de personal de apoyo a los procesos</t>
        </is>
      </c>
      <c r="F12" s="84" t="inlineStr">
        <is>
          <t>Capacidad de presupuestación de fondos limita el ritmo de contratación de personal de apoyo</t>
        </is>
      </c>
    </row>
    <row r="13" ht="43.95" customHeight="1" s="89" thickBot="1">
      <c r="B13" s="27" t="inlineStr">
        <is>
          <t>CR-J0002</t>
        </is>
      </c>
      <c r="C13" s="28" t="inlineStr">
        <is>
          <t>Unidad de refugio construida, equipada y en funcionamiento</t>
        </is>
      </c>
      <c r="D13" s="32" t="inlineStr">
        <is>
          <t>Retrasado</t>
        </is>
      </c>
      <c r="E13" s="28" t="inlineStr">
        <is>
          <t>D+C para construcción y equipamiento de unidad de refugio</t>
        </is>
      </c>
      <c r="F13" s="28" t="inlineStr">
        <is>
          <t>Procesos estimados para finalizar en 2027 cerca del fin del plazo de desembolsos</t>
        </is>
      </c>
    </row>
    <row r="14" ht="29.4" customHeight="1" s="89" thickBot="1">
      <c r="B14" s="33" t="inlineStr">
        <is>
          <t>CR-J0002</t>
        </is>
      </c>
      <c r="C14" s="34" t="inlineStr">
        <is>
          <t>Campaña de comunicación contra la xenofobia realizada</t>
        </is>
      </c>
      <c r="D14" s="35" t="inlineStr">
        <is>
          <t>En tiempo</t>
        </is>
      </c>
      <c r="E14" s="34" t="inlineStr">
        <is>
          <t>Diseño, implementación y evaluación de campaña de sensibilización (firma consultora)</t>
        </is>
      </c>
      <c r="F14" s="36" t="inlineStr">
        <is>
          <t>El proceso de adquisición no ha iniciado</t>
        </is>
      </c>
    </row>
    <row r="15" ht="28.95" customHeight="1" s="89">
      <c r="B15" s="12" t="inlineStr">
        <is>
          <t>CR-J0002</t>
        </is>
      </c>
      <c r="C15" s="84" t="inlineStr">
        <is>
          <t>Centro Cívico de Upala construido, equipado y en funcionamiento</t>
        </is>
      </c>
      <c r="D15" s="14" t="inlineStr">
        <is>
          <t>En tiempo</t>
        </is>
      </c>
      <c r="E15" s="84" t="inlineStr">
        <is>
          <t>D+C para CCP de Upala</t>
        </is>
      </c>
      <c r="F15" s="84" t="inlineStr">
        <is>
          <t>Procesos estimados para finalizar en 2027 cerca del fin del plazo de desembolsos</t>
        </is>
      </c>
    </row>
    <row r="16" ht="28.95" customHeight="1" s="89">
      <c r="B16" s="17" t="inlineStr">
        <is>
          <t>CR-J0002</t>
        </is>
      </c>
      <c r="C16" s="18" t="inlineStr">
        <is>
          <t>Programas de formación para la prevención de la trata de personas y tráfico ilegal de migrantes</t>
        </is>
      </c>
      <c r="D16" s="19" t="inlineStr">
        <is>
          <t>En tiempo</t>
        </is>
      </c>
      <c r="E16" s="18" t="inlineStr">
        <is>
          <t>Formadores expertos en prevención de tráfico ilícito (3 consultores individuales)</t>
        </is>
      </c>
    </row>
    <row r="17" ht="29.4" customHeight="1" s="89">
      <c r="B17" s="17" t="inlineStr">
        <is>
          <t>CR-J0002</t>
        </is>
      </c>
      <c r="C17" s="18" t="inlineStr">
        <is>
          <t>Procesos formativos para el fortalecimiento de los Centros Cívico</t>
        </is>
      </c>
      <c r="D17" s="19" t="inlineStr">
        <is>
          <t>En tiempo</t>
        </is>
      </c>
      <c r="E17" s="18" t="inlineStr">
        <is>
          <t>Gestor metodológico y Facilitadores de formación en CCP (cons. Individuales)</t>
        </is>
      </c>
    </row>
    <row r="18" ht="137.25" customHeight="1" s="89">
      <c r="B18" s="71" t="inlineStr">
        <is>
          <t>CR-L1151</t>
        </is>
      </c>
      <c r="C18" s="72" t="inlineStr">
        <is>
          <t xml:space="preserve">Tramo Central Sifón – Sucre </t>
        </is>
      </c>
      <c r="D18" s="81" t="inlineStr">
        <is>
          <t>Pausado</t>
        </is>
      </c>
      <c r="E18" s="73" t="inlineStr">
        <is>
          <t>Contratación para el diseño y construcción del Tramo Central de la Ruta Nacional no. 35</t>
        </is>
      </c>
      <c r="F18" s="73" t="inlineStr">
        <is>
          <t>En análisis por FMP y TSP junto con el OE sobre siguiente estado del proceso: declaración de infructuoso, cancelación, o nueva fuente de financiamiento.</t>
        </is>
      </c>
    </row>
    <row r="19" ht="137.25" customHeight="1" s="89">
      <c r="B19" s="71" t="inlineStr">
        <is>
          <t>CR-L1151</t>
        </is>
      </c>
      <c r="C19" s="72" t="inlineStr">
        <is>
          <t xml:space="preserve">Obras complementarias en el Tramo Central Sección Sucre – Abundancia </t>
        </is>
      </c>
      <c r="D19" s="81" t="inlineStr">
        <is>
          <t>Pausado</t>
        </is>
      </c>
      <c r="E19" s="73" t="inlineStr">
        <is>
          <t>Contratación para el diseño y construcción del Tramo Central de la Ruta Nacional no. 35</t>
        </is>
      </c>
      <c r="F19" s="73" t="n"/>
    </row>
    <row r="20" ht="81" customHeight="1" s="89">
      <c r="B20" s="74" t="inlineStr">
        <is>
          <t>CR-L1151</t>
        </is>
      </c>
      <c r="C20" s="85" t="inlineStr">
        <is>
          <t>Punta Sur de la RN-35 diseñado y construido</t>
        </is>
      </c>
      <c r="D20" s="19" t="inlineStr">
        <is>
          <t>En tiempo</t>
        </is>
      </c>
      <c r="E20" s="18" t="inlineStr">
        <is>
          <t xml:space="preserve">Contratación para el diseño y construcción de la Punta Sur de la Ruta Nacional no. 35 </t>
        </is>
      </c>
      <c r="F20" s="18" t="inlineStr">
        <is>
          <t>Lote 1 firmado
Lote 2 firmado.</t>
        </is>
      </c>
    </row>
    <row r="21" ht="81" customHeight="1" s="89">
      <c r="B21" s="76" t="inlineStr">
        <is>
          <t>CR-L1151</t>
        </is>
      </c>
      <c r="C21" s="77" t="inlineStr">
        <is>
          <t xml:space="preserve">Obras complementarias en la Punta Norte </t>
        </is>
      </c>
      <c r="D21" s="78" t="inlineStr">
        <is>
          <t>Logrado</t>
        </is>
      </c>
      <c r="E21" s="79" t="inlineStr">
        <is>
          <t>Contratación de para el diseño y construcción de los sistemas de iluminación vial para la Punta Norte de la RN No. 35 (Sección ciudad Quesada / Florencia)</t>
        </is>
      </c>
      <c r="F21" s="79" t="n"/>
    </row>
    <row r="22" ht="42.75" customHeight="1" s="89">
      <c r="B22" s="74" t="inlineStr">
        <is>
          <t>CR-L1065</t>
        </is>
      </c>
      <c r="C22" s="85" t="inlineStr">
        <is>
          <t>Número de funcionarios municipales capacitados</t>
        </is>
      </c>
      <c r="D22" s="19" t="inlineStr">
        <is>
          <t>Logrado</t>
        </is>
      </c>
      <c r="E22" s="18" t="inlineStr">
        <is>
          <t>Consultor individual que realice el PCR de operación</t>
        </is>
      </c>
    </row>
    <row r="23" ht="42.75" customHeight="1" s="89">
      <c r="B23" s="74" t="inlineStr">
        <is>
          <t>CR-L1065</t>
        </is>
      </c>
      <c r="C23" s="85" t="inlineStr">
        <is>
          <t>Número de cantones con Planes Viales Quinquenales de conservación y desarrollo elaborados</t>
        </is>
      </c>
      <c r="D23" s="19" t="inlineStr">
        <is>
          <t>Logrado</t>
        </is>
      </c>
      <c r="E23" s="18" t="n"/>
    </row>
    <row r="24" ht="42.75" customHeight="1" s="89">
      <c r="B24" s="74" t="inlineStr">
        <is>
          <t>CR-L1065</t>
        </is>
      </c>
      <c r="C24" s="85" t="inlineStr">
        <is>
          <t>Manuales de seguridad vial y gestión socioambiental elaborados</t>
        </is>
      </c>
      <c r="D24" s="19" t="inlineStr">
        <is>
          <t>Logrado</t>
        </is>
      </c>
      <c r="E24" s="18" t="n"/>
    </row>
    <row r="25" ht="42.75" customHeight="1" s="89">
      <c r="B25" s="74" t="inlineStr">
        <is>
          <t>CR-L1065</t>
        </is>
      </c>
      <c r="C25" s="85" t="inlineStr">
        <is>
          <t>Sistema de Gestión de activos viales implementado</t>
        </is>
      </c>
      <c r="D25" s="19" t="inlineStr">
        <is>
          <t>Logrado</t>
        </is>
      </c>
      <c r="E25" s="18" t="n"/>
    </row>
    <row r="26" ht="42.75" customHeight="1" s="89">
      <c r="B26" s="74" t="inlineStr">
        <is>
          <t>CR-L1065</t>
        </is>
      </c>
      <c r="C26" s="85" t="inlineStr">
        <is>
          <t>Cantones con intervención de seguridad vial</t>
        </is>
      </c>
      <c r="D26" s="19" t="inlineStr">
        <is>
          <t>Logrado</t>
        </is>
      </c>
      <c r="E26" s="18" t="n"/>
    </row>
    <row r="27" ht="42.75" customHeight="1" s="89">
      <c r="B27" s="74" t="inlineStr">
        <is>
          <t>CR-L1065</t>
        </is>
      </c>
      <c r="C27" s="85" t="inlineStr">
        <is>
          <t>Mantenimiento rutinario por estándares realizado a través de microempresas</t>
        </is>
      </c>
      <c r="D27" s="19" t="inlineStr">
        <is>
          <t>Logrado</t>
        </is>
      </c>
      <c r="E27" s="18" t="n"/>
    </row>
    <row r="28" ht="42.75" customHeight="1" s="89">
      <c r="B28" s="74" t="inlineStr">
        <is>
          <t>CR-L1065</t>
        </is>
      </c>
      <c r="C28" s="85" t="inlineStr">
        <is>
          <t>Puentes construidos o rehabilitados</t>
        </is>
      </c>
      <c r="D28" s="19" t="inlineStr">
        <is>
          <t>Logrado</t>
        </is>
      </c>
      <c r="E28" s="18" t="inlineStr">
        <is>
          <t>Construcción de puentes (paquetes), rehabilitados (Incluye diseño adaptados a cambio climático).</t>
        </is>
      </c>
      <c r="F28" s="18" t="inlineStr">
        <is>
          <t>Evaluación Ex Post de resultados pendiente</t>
        </is>
      </c>
    </row>
    <row r="29" ht="80.25" customHeight="1" s="89">
      <c r="B29" s="76" t="inlineStr">
        <is>
          <t>CR-L1065</t>
        </is>
      </c>
      <c r="C29" s="77" t="inlineStr">
        <is>
          <t>Caminos cantonales rehabilitados</t>
        </is>
      </c>
      <c r="D29" s="78" t="inlineStr">
        <is>
          <t>Logrado</t>
        </is>
      </c>
      <c r="E29" s="79" t="inlineStr">
        <is>
          <t>Rehabilitación de caminos (paquetes)</t>
        </is>
      </c>
      <c r="F29" s="79" t="inlineStr">
        <is>
          <t>Evaluación Ex Post de resultados pendiente</t>
        </is>
      </c>
    </row>
    <row r="30" ht="99" customHeight="1" s="89">
      <c r="B30" s="17" t="inlineStr">
        <is>
          <t>CR-L1139</t>
        </is>
      </c>
      <c r="C30" s="18" t="inlineStr">
        <is>
          <t>1.6 Lote #4 Programa de OBIS en el corredor San Ramón – San José: Intercambios San Ramón, Naranjo, Grecia y El Coyol (Fuente BID y Contrapartida).</t>
        </is>
      </c>
      <c r="D30" s="21" t="inlineStr">
        <is>
          <t>Retrasado</t>
        </is>
      </c>
      <c r="E30" s="85" t="inlineStr">
        <is>
          <t>D+C Intercambio de Naranjo</t>
        </is>
      </c>
      <c r="F30" s="18" t="inlineStr">
        <is>
          <t xml:space="preserve">Contrato adjudicado aún no firmado.
En proceso de finalizar expropiaciones. </t>
        </is>
      </c>
    </row>
    <row r="31" ht="86.40000000000001" customHeight="1" s="89">
      <c r="B31" s="17" t="inlineStr">
        <is>
          <t>CR-L1139</t>
        </is>
      </c>
      <c r="C31" s="18" t="inlineStr">
        <is>
          <t>1.6 Lote #4 Programa de OBIS en el corredor San Ramón – San José: Intercambios San Ramón, Naranjo, Grecia y El Coyol (Fuente BID y Contrapartida).</t>
        </is>
      </c>
      <c r="D31" s="21" t="inlineStr">
        <is>
          <t>Retrasado</t>
        </is>
      </c>
      <c r="E31" s="85" t="inlineStr">
        <is>
          <t>D+C Intercambio de Coyol</t>
        </is>
      </c>
      <c r="F31" s="18" t="inlineStr">
        <is>
          <t>En revisión enmienda al contrato por ajustes en el diseño final que implicaría aumento de alcance, costo y tiempo.</t>
        </is>
      </c>
    </row>
    <row r="32" ht="104.25" customHeight="1" s="89">
      <c r="B32" s="17" t="inlineStr">
        <is>
          <t>CR-L1139</t>
        </is>
      </c>
      <c r="C32" s="18" t="inlineStr">
        <is>
          <t>Lote #4 Programa de OBIS en el corredor San Ramón – San José: Intercambios San Ramón, Naranjo, Grecia y El Coyol (Fuente BID y Contrapartida).</t>
        </is>
      </c>
      <c r="D32" s="21" t="inlineStr">
        <is>
          <t>Retrasado</t>
        </is>
      </c>
      <c r="E32" s="18" t="inlineStr">
        <is>
          <t>Supervisión D+C Intercambio Coyol
(firma consultora)</t>
        </is>
      </c>
      <c r="F32" s="18" t="inlineStr">
        <is>
          <t>NOB condicionada a ajustes al documento de SDP.
Estimado por US$2.5 millones.</t>
        </is>
      </c>
    </row>
    <row r="33" ht="46.5" customHeight="1" s="89" thickBot="1">
      <c r="B33" s="17" t="inlineStr">
        <is>
          <t>CR-L1139</t>
        </is>
      </c>
      <c r="C33" s="18" t="inlineStr">
        <is>
          <t>2.1 Estudios de Estructuración integral en al menos dos proyectos APP realizados (Fuente BID).</t>
        </is>
      </c>
      <c r="D33" s="21" t="inlineStr">
        <is>
          <t>Retrasado</t>
        </is>
      </c>
      <c r="E33" s="85" t="inlineStr">
        <is>
          <t>Estructuración APP #2</t>
        </is>
      </c>
      <c r="F33" s="85" t="inlineStr">
        <is>
          <t>Proyecto #2 aún no definido por el OE.</t>
        </is>
      </c>
    </row>
    <row r="34" ht="100.95" customHeight="1" s="89">
      <c r="B34" s="12" t="inlineStr">
        <is>
          <t>CR-G1008</t>
        </is>
      </c>
      <c r="C34" s="84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34" s="14" t="inlineStr">
        <is>
          <t>En tiempo</t>
        </is>
      </c>
      <c r="E34" s="84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34" s="84" t="inlineStr">
        <is>
          <t xml:space="preserve">Se debe actualizar la planificación para validarla mediante un taller de arranque, junto con la Unidad Ejecutora y la Jefe de Equipo. </t>
        </is>
      </c>
    </row>
    <row r="35" ht="43.2" customHeight="1" s="89">
      <c r="B35" s="17" t="inlineStr">
        <is>
          <t>CR-G1008</t>
        </is>
      </c>
      <c r="C35" s="18" t="inlineStr">
        <is>
          <t>1.1 Número total de hogares que disponen de sistema de saneamiento nuevo o mejorado y/o conexión al agua potable</t>
        </is>
      </c>
      <c r="D35" s="19" t="inlineStr">
        <is>
          <t>En tiempo</t>
        </is>
      </c>
      <c r="E35" s="18" t="inlineStr">
        <is>
          <t>Diseño de la obra e inspección (sistemas de saneamiento).</t>
        </is>
      </c>
    </row>
    <row r="36" ht="43.95" customHeight="1" s="89" thickBot="1">
      <c r="B36" s="17" t="inlineStr">
        <is>
          <t>CR-G1008</t>
        </is>
      </c>
      <c r="C36" s="18" t="inlineStr">
        <is>
          <t>1.1 Número total de hogares que disponen de sistema de saneamiento nuevo o mejorado y/o conexión al agua potable</t>
        </is>
      </c>
      <c r="D36" s="19" t="inlineStr">
        <is>
          <t>En tiempo</t>
        </is>
      </c>
      <c r="E36" s="18" t="inlineStr">
        <is>
          <t>Sistemas de Saneamiento en hogares rurales (construcción de la obra)</t>
        </is>
      </c>
    </row>
    <row r="37" ht="195" customHeight="1" s="89">
      <c r="B37" s="12" t="inlineStr">
        <is>
          <t>CR-L1032</t>
        </is>
      </c>
      <c r="C37" s="15" t="inlineStr">
        <is>
          <t>Tramo Limonal - Cañas rehabilitado y ampliado</t>
        </is>
      </c>
      <c r="D37" s="14" t="inlineStr">
        <is>
          <t>Logrado</t>
        </is>
      </c>
      <c r="E37" s="84" t="inlineStr">
        <is>
          <t>Construcción de la Ampliación y Rehabilitación del Tramo de Carretera Limonal-Cañas</t>
        </is>
      </c>
      <c r="F37" s="84" t="inlineStr">
        <is>
          <t>Evaluación de resultados pendiente para confirmar cumplimiento de indicadores</t>
        </is>
      </c>
    </row>
    <row r="38" ht="188.4" customHeight="1" s="89">
      <c r="B38" s="17" t="inlineStr">
        <is>
          <t>CR-L1032</t>
        </is>
      </c>
      <c r="C38" s="85" t="inlineStr">
        <is>
          <t>Tramo Playa Naranjo  - Paquera rehabilitado y ampliado</t>
        </is>
      </c>
      <c r="D38" s="19" t="inlineStr">
        <is>
          <t>Logrado</t>
        </is>
      </c>
      <c r="E38" s="18" t="inlineStr">
        <is>
          <t>Construcción de la Ampliación y Rehabilitación del Tramo de Carretera Playa Naranjo – Paquera RN 160</t>
        </is>
      </c>
      <c r="F38" s="18" t="inlineStr">
        <is>
          <t>Evaluación de resultados pendiente para confirmar cumplimiento de indicadores</t>
        </is>
      </c>
    </row>
    <row r="39" ht="193.95" customHeight="1" s="89">
      <c r="B39" s="17" t="inlineStr">
        <is>
          <t>CR-L1032</t>
        </is>
      </c>
      <c r="C39" s="85" t="inlineStr">
        <is>
          <t>Tramo Barranca-Limonal rehabilitado y ampliado</t>
        </is>
      </c>
      <c r="D39" s="21" t="inlineStr">
        <is>
          <t>Retrasado</t>
        </is>
      </c>
      <c r="E39" s="18" t="inlineStr">
        <is>
          <t>Rehabilitación y ampliación a cuatro carriles de la Ruta Nacional No. 1, Sección Barranca – Limonal (SICOP 2025LY-00001-0003000001)</t>
        </is>
      </c>
      <c r="F39" s="18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0" ht="30.6" customHeight="1" s="89">
      <c r="B40" s="17" t="inlineStr">
        <is>
          <t>CR-L1032</t>
        </is>
      </c>
      <c r="C40" s="85" t="inlineStr">
        <is>
          <t>Rompeolas de caldera rehabilitado y ampliado</t>
        </is>
      </c>
      <c r="D40" s="19" t="inlineStr">
        <is>
          <t>Logrado</t>
        </is>
      </c>
      <c r="F40" s="18" t="inlineStr">
        <is>
          <t>Evaluación de resultados pendiente para confirmar cumplimiento de indicadores</t>
        </is>
      </c>
    </row>
    <row r="41" ht="87" customHeight="1" s="89" thickBot="1">
      <c r="B41" s="27" t="inlineStr">
        <is>
          <t>CR-L1032</t>
        </is>
      </c>
      <c r="C41" s="30" t="inlineStr">
        <is>
          <t>Terminales de transbordadores rehabilitadas</t>
        </is>
      </c>
      <c r="D41" s="29" t="inlineStr">
        <is>
          <t>Logrado</t>
        </is>
      </c>
      <c r="E41" s="30" t="n"/>
      <c r="F41" s="28" t="inlineStr">
        <is>
          <t>Evaluación de resultados pendiente para confirmar cumplimiento de indicadores</t>
        </is>
      </c>
    </row>
  </sheetData>
  <autoFilter ref="B3:G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F5" sqref="F5"/>
    </sheetView>
  </sheetViews>
  <sheetFormatPr baseColWidth="8" defaultRowHeight="14.4"/>
  <cols>
    <col width="12" customWidth="1" style="89" min="2" max="2"/>
    <col width="57.109375" customWidth="1" style="89" min="3" max="3"/>
    <col width="19.33203125" customWidth="1" style="89" min="4" max="5"/>
    <col width="15" customWidth="1" style="89" min="6" max="6"/>
    <col width="11.88671875" customWidth="1" style="89" min="7" max="7"/>
    <col width="10.6640625" customWidth="1" style="89" min="8" max="8"/>
    <col width="9.88671875" customWidth="1" style="89" min="9" max="9"/>
    <col width="10.5546875" customWidth="1" style="89" min="10" max="11"/>
    <col width="7.88671875" customWidth="1" style="89" min="12" max="12"/>
    <col width="62.44140625" customWidth="1" style="89" min="13" max="13"/>
    <col width="45" customWidth="1" style="89" min="14" max="14"/>
    <col width="9.44140625" bestFit="1" customWidth="1" style="89" min="16" max="17"/>
  </cols>
  <sheetData>
    <row r="2" ht="21" customHeight="1" s="89">
      <c r="B2" s="60" t="inlineStr">
        <is>
          <t>Ciclo I-2026 (Con corte de datos a dic 2025)</t>
        </is>
      </c>
      <c r="C2" s="60" t="n"/>
    </row>
    <row r="4" ht="43.2" customHeight="1" s="89">
      <c r="B4" s="69" t="inlineStr">
        <is>
          <t>Programa</t>
        </is>
      </c>
      <c r="C4" s="69" t="inlineStr">
        <is>
          <t>Nombre</t>
        </is>
      </c>
      <c r="D4" s="68" t="inlineStr">
        <is>
          <t>Calificación Calculada</t>
        </is>
      </c>
      <c r="E4" s="58" t="inlineStr">
        <is>
          <t>Calificación Validada</t>
        </is>
      </c>
      <c r="F4" s="59" t="inlineStr">
        <is>
          <t>Desembolsos</t>
        </is>
      </c>
      <c r="G4" s="59" t="inlineStr">
        <is>
          <t>SPI</t>
        </is>
      </c>
      <c r="H4" s="59" t="inlineStr">
        <is>
          <t>SPI(a)</t>
        </is>
      </c>
      <c r="I4" s="59" t="inlineStr">
        <is>
          <t>CPI</t>
        </is>
      </c>
      <c r="J4" s="59" t="inlineStr">
        <is>
          <t>CPI(a)</t>
        </is>
      </c>
      <c r="K4" s="59" t="inlineStr">
        <is>
          <t>meses desde 95%</t>
        </is>
      </c>
      <c r="L4" s="59" t="inlineStr">
        <is>
          <t>Etapa</t>
        </is>
      </c>
      <c r="M4" s="58" t="inlineStr">
        <is>
          <t>Comentarios de simulación PMR</t>
        </is>
      </c>
      <c r="N4" s="58" t="inlineStr">
        <is>
          <t>Plan Acción 2026</t>
        </is>
      </c>
    </row>
    <row r="5" ht="42.6" customHeight="1" s="89">
      <c r="B5" s="70" t="inlineStr">
        <is>
          <t>CR-L1032</t>
        </is>
      </c>
      <c r="C5" s="70" t="inlineStr">
        <is>
          <t>Programa de Infraestructura de Transporte</t>
        </is>
      </c>
      <c r="D5" s="64" t="inlineStr">
        <is>
          <t>ALERTA</t>
        </is>
      </c>
      <c r="E5" s="41" t="inlineStr">
        <is>
          <t>ALERTA</t>
        </is>
      </c>
      <c r="F5" s="45" t="n">
        <v>0.77</v>
      </c>
      <c r="G5" s="46" t="inlineStr">
        <is>
          <t>N/A</t>
        </is>
      </c>
      <c r="H5" s="47" t="n">
        <v>1</v>
      </c>
      <c r="I5" s="46" t="inlineStr">
        <is>
          <t>N/A</t>
        </is>
      </c>
      <c r="J5" s="47" t="n">
        <v>1.01</v>
      </c>
      <c r="K5" s="44" t="inlineStr">
        <is>
          <t>N/A</t>
        </is>
      </c>
      <c r="L5" s="42" t="n">
        <v>2</v>
      </c>
      <c r="M5" s="40" t="inlineStr">
        <is>
      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      </is>
      </c>
      <c r="N5" s="40" t="inlineStr">
        <is>
          <t>Asegurar la finalización de pagos de obras complementarias y expropiaciones, así como gastos de ruta 35 con cargo a la operación.</t>
        </is>
      </c>
    </row>
    <row r="6" ht="42.6" customHeight="1" s="89">
      <c r="B6" s="70" t="inlineStr">
        <is>
          <t>CR-L1065</t>
        </is>
      </c>
      <c r="C6" s="70" t="inlineStr">
        <is>
          <t>Programa Red Vial Cantonal II</t>
        </is>
      </c>
      <c r="D6" s="65" t="inlineStr">
        <is>
          <t>SATISFACTORIO</t>
        </is>
      </c>
      <c r="E6" s="43" t="inlineStr">
        <is>
          <t>SATISFACTORIO</t>
        </is>
      </c>
      <c r="F6" s="49" t="n">
        <v>0.97</v>
      </c>
      <c r="G6" s="46" t="inlineStr">
        <is>
          <t>N/A</t>
        </is>
      </c>
      <c r="H6" s="47" t="n">
        <v>0.95</v>
      </c>
      <c r="I6" s="46" t="inlineStr">
        <is>
          <t>N/A</t>
        </is>
      </c>
      <c r="J6" s="47" t="n">
        <v>1.05</v>
      </c>
      <c r="K6" s="48" t="n">
        <v>6</v>
      </c>
      <c r="L6" s="42" t="n">
        <v>3</v>
      </c>
      <c r="M6" s="40" t="inlineStr">
        <is>
          <t>No se advierten problemas para mantener la clasificación (operación en cierre)</t>
        </is>
      </c>
      <c r="N6" s="40" t="inlineStr">
        <is>
          <t>N/A</t>
        </is>
      </c>
    </row>
    <row r="7" ht="42.6" customHeight="1" s="89">
      <c r="B7" s="70" t="inlineStr">
        <is>
          <t>CR-L1139</t>
        </is>
      </c>
      <c r="C7" s="70" t="inlineStr">
        <is>
          <t>Programa de Infraestructura Vial y promoción de Asociaciones Público-Privadas (APP)</t>
        </is>
      </c>
      <c r="D7" s="65" t="inlineStr">
        <is>
          <t>SATISFACTORIO</t>
        </is>
      </c>
      <c r="E7" s="43" t="inlineStr">
        <is>
          <t>SATISFACTORIO</t>
        </is>
      </c>
      <c r="F7" s="49" t="n">
        <v>0.6500000000000019</v>
      </c>
      <c r="G7" s="50" t="n">
        <v>0.5520283742613635</v>
      </c>
      <c r="H7" s="47" t="n">
        <v>0.9807020322169706</v>
      </c>
      <c r="I7" s="47" t="n">
        <v>0.9982999003103412</v>
      </c>
      <c r="J7" s="47" t="n">
        <v>1.07607587044539</v>
      </c>
      <c r="K7" s="44" t="inlineStr">
        <is>
          <t>N/A</t>
        </is>
      </c>
      <c r="L7" s="42" t="n">
        <v>2</v>
      </c>
      <c r="M7" s="40" t="inlineStr">
        <is>
      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      </is>
      </c>
      <c r="N7" s="40" t="inlineStr">
        <is>
          <t>Asegurar un desembolso de al menos $9m en 2026. Monitorear avance financiero de intercambios y Taras la Lima para evaluar impacto de metas físicas y financieras en 2027.</t>
        </is>
      </c>
    </row>
    <row r="8" ht="42.6" customHeight="1" s="89">
      <c r="B8" s="70" t="inlineStr">
        <is>
          <t>CR-L1151</t>
        </is>
      </c>
      <c r="C8" s="70" t="inlineStr">
        <is>
          <t>Programa de Infraestructura Vial y Movilidad Urbana: conectividad resiliente</t>
        </is>
      </c>
      <c r="D8" s="65" t="inlineStr">
        <is>
          <t>SATISFACTORIO</t>
        </is>
      </c>
      <c r="E8" s="43" t="inlineStr">
        <is>
          <t>SATISFACTORIO</t>
        </is>
      </c>
      <c r="F8" s="51" t="n">
        <v>0.04</v>
      </c>
      <c r="G8" s="47" t="n">
        <v>1.39</v>
      </c>
      <c r="H8" s="47" t="n">
        <v>1.39</v>
      </c>
      <c r="I8" s="47" t="n">
        <v>1</v>
      </c>
      <c r="J8" s="47" t="n">
        <v>1</v>
      </c>
      <c r="K8" s="44" t="inlineStr">
        <is>
          <t>N/A</t>
        </is>
      </c>
      <c r="L8" s="42" t="n">
        <v>2</v>
      </c>
      <c r="M8" s="40" t="inlineStr">
        <is>
      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      </is>
      </c>
      <c r="N8" s="40" t="inlineStr">
        <is>
          <t>Asegurar al menos la meta de desembolsos de la operación ($20,2m) y garantizar que gastos de punta sur + obras complementarias de punta norte superen los $8m (80% de lo planeado).</t>
        </is>
      </c>
    </row>
    <row r="9" ht="42.6" customHeight="1" s="89">
      <c r="B9" s="70" t="inlineStr">
        <is>
          <t>CR-L1137</t>
        </is>
      </c>
      <c r="C9" s="70" t="inlineStr">
        <is>
          <t>Programa de Seguridad Ciudadana y Prevención de Violencia</t>
        </is>
      </c>
      <c r="D9" s="64" t="inlineStr">
        <is>
          <t>ALERTA</t>
        </is>
      </c>
      <c r="E9" s="43" t="inlineStr">
        <is>
          <t>SATISFACTORIO</t>
        </is>
      </c>
      <c r="F9" s="49" t="n">
        <v>0.65</v>
      </c>
      <c r="G9" s="46" t="inlineStr">
        <is>
          <t>N/A</t>
        </is>
      </c>
      <c r="H9" s="50" t="n">
        <v>0.75</v>
      </c>
      <c r="I9" s="46" t="inlineStr">
        <is>
          <t>N/A</t>
        </is>
      </c>
      <c r="J9" s="50" t="n">
        <v>0.74</v>
      </c>
      <c r="K9" s="44" t="inlineStr">
        <is>
          <t>N/A</t>
        </is>
      </c>
      <c r="L9" s="42" t="n">
        <v>2</v>
      </c>
      <c r="M9" s="40" t="inlineStr">
        <is>
      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      </is>
      </c>
      <c r="N9" s="40" t="inlineStr">
        <is>
          <t>Asegurar la finalización de al menos 4 delegaciones policiales y 1 centro cívico en 2026.</t>
        </is>
      </c>
    </row>
    <row r="10" ht="42.6" customHeight="1" s="89">
      <c r="B10" s="70" t="inlineStr">
        <is>
          <t>CR-J0002</t>
        </is>
      </c>
      <c r="C10" s="70" t="inlineStr">
        <is>
          <t>Programa Integral de Seguridad Ciudadana y Prevención de la Violencia para la Inclusión de Grupos Migrantes Vulnerables</t>
        </is>
      </c>
      <c r="D10" s="66" t="inlineStr">
        <is>
          <t>PROBLEMA</t>
        </is>
      </c>
      <c r="E10" s="53" t="inlineStr">
        <is>
          <t>PROBLEMA</t>
        </is>
      </c>
      <c r="F10" s="49" t="n">
        <v>0.3800000000000001</v>
      </c>
      <c r="G10" s="52" t="n">
        <v>0.03232190514660078</v>
      </c>
      <c r="H10" s="50" t="n">
        <v>0.4608036086469921</v>
      </c>
      <c r="I10" s="47" t="n">
        <v>1.129574230040155</v>
      </c>
      <c r="J10" s="50" t="n">
        <v>2.737091349830477</v>
      </c>
      <c r="K10" s="44" t="inlineStr">
        <is>
          <t>N/A</t>
        </is>
      </c>
      <c r="L10" s="42" t="n">
        <v>2</v>
      </c>
      <c r="M10" s="40" t="inlineStr">
        <is>
      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      </is>
      </c>
      <c r="N10" s="40" t="inlineStr">
        <is>
          <t>Monitorear e impulsar la ejecución de los procesos de regularización para alcanzar la meta de 60.000 procesos completados en 2026. Seguimiento al avance de CCP Upala y Unidad de Refugio.</t>
        </is>
      </c>
    </row>
    <row r="11" ht="42.6" customHeight="1" s="89">
      <c r="B11" s="70" t="inlineStr">
        <is>
          <t>CR-L1066</t>
        </is>
      </c>
      <c r="C11" s="70" t="inlineStr">
        <is>
          <t>Programa de Integración Fronteriza de Costa Rica</t>
        </is>
      </c>
      <c r="D11" s="65" t="inlineStr">
        <is>
          <t>SATISFACTORIO</t>
        </is>
      </c>
      <c r="E11" s="43" t="inlineStr">
        <is>
          <t>SATISFACTORIO</t>
        </is>
      </c>
      <c r="F11" s="54" t="n">
        <v>1</v>
      </c>
      <c r="G11" s="46" t="inlineStr">
        <is>
          <t>N/A</t>
        </is>
      </c>
      <c r="H11" s="47" t="n">
        <v>0.95</v>
      </c>
      <c r="I11" s="46" t="inlineStr">
        <is>
          <t>N/A</t>
        </is>
      </c>
      <c r="J11" s="47" t="n">
        <v>0.9</v>
      </c>
      <c r="K11" s="42" t="n">
        <v>3</v>
      </c>
      <c r="L11" s="42" t="n">
        <v>3</v>
      </c>
      <c r="M11" s="40" t="inlineStr">
        <is>
          <t>No se advierten problemas para mantener la clasificación (operación en cierre)</t>
        </is>
      </c>
      <c r="N11" s="40" t="inlineStr">
        <is>
          <t>N/A</t>
        </is>
      </c>
    </row>
    <row r="12" ht="42.6" customHeight="1" s="89">
      <c r="B12" s="70" t="inlineStr">
        <is>
          <t>CR-L1152</t>
        </is>
      </c>
      <c r="C12" s="70" t="inlineStr">
        <is>
          <t>Mejora de la calidad del Sistema Educativo en Costa Rica</t>
        </is>
      </c>
      <c r="D12" s="64" t="inlineStr">
        <is>
          <t>ALERTA</t>
        </is>
      </c>
      <c r="E12" s="43" t="inlineStr">
        <is>
          <t>SATISFACTORIO</t>
        </is>
      </c>
      <c r="F12" s="41" t="n"/>
      <c r="G12" s="41" t="n"/>
      <c r="H12" s="41" t="n"/>
      <c r="I12" s="41" t="n"/>
      <c r="J12" s="41" t="n"/>
      <c r="K12" s="41" t="n"/>
      <c r="L12" s="41" t="n"/>
      <c r="M12" s="55" t="inlineStr">
        <is>
          <t>Actualmente esperando ratificación. Considerando un proceso de firma de contrato inusual, se recomienda cambiar la clasificación a satisfactorio. El sistema seguirá clasificandolo como alerta automáticamente hasta que obtenga la ratificación.</t>
        </is>
      </c>
      <c r="N12" s="40" t="inlineStr">
        <is>
          <t>Monitorear proceso de ratificación</t>
        </is>
      </c>
    </row>
    <row r="13" ht="42.6" customHeight="1" s="89">
      <c r="B13" s="70" t="inlineStr">
        <is>
          <t>CR-L1156</t>
        </is>
      </c>
      <c r="C13" s="70" t="inlineStr">
        <is>
          <t>Apoyo al fortalecimiento y expansión del sistema nacional de cuidados de Costa Rica</t>
        </is>
      </c>
      <c r="D13" s="67" t="inlineStr">
        <is>
          <t>No indica</t>
        </is>
      </c>
      <c r="E13" s="56" t="inlineStr">
        <is>
          <t>No indica</t>
        </is>
      </c>
      <c r="F13" s="56" t="n"/>
      <c r="G13" s="56" t="n"/>
      <c r="H13" s="56" t="n"/>
      <c r="I13" s="56" t="n"/>
      <c r="J13" s="56" t="n"/>
      <c r="K13" s="56" t="n"/>
      <c r="L13" s="56" t="n"/>
      <c r="M13" s="55" t="inlineStr">
        <is>
          <t>Actualmente esperando ratificación. La operación no muestra clasificación ni gráfica de conteo de días hasta efectividad.</t>
        </is>
      </c>
      <c r="N13" s="40" t="inlineStr">
        <is>
          <t>Monitorear proceso de ratificación</t>
        </is>
      </c>
    </row>
    <row r="14" ht="42.6" customHeight="1" s="89">
      <c r="B14" s="70" t="inlineStr">
        <is>
          <t>CR-L1157</t>
        </is>
      </c>
      <c r="C14" s="70" t="inlineStr">
        <is>
          <t>Segundo Programa de Energía Renovable, Transmisión y Distribución de Electricidad</t>
        </is>
      </c>
      <c r="D14" s="65" t="inlineStr">
        <is>
          <t>SATISFACTORIO</t>
        </is>
      </c>
      <c r="E14" s="43" t="inlineStr">
        <is>
          <t>SATISFACTORIO</t>
        </is>
      </c>
      <c r="F14" s="43" t="n"/>
      <c r="G14" s="43" t="n"/>
      <c r="H14" s="43" t="n"/>
      <c r="I14" s="43" t="n"/>
      <c r="J14" s="43" t="n"/>
      <c r="K14" s="43" t="n"/>
      <c r="L14" s="43" t="n"/>
      <c r="M14" s="55" t="inlineStr">
        <is>
          <t xml:space="preserve">Recién se firmó, por lo que para el próximo ciclo estarían contabilizando el plazo para alcanzar la elegibilidad. </t>
        </is>
      </c>
      <c r="N14" s="40" t="inlineStr">
        <is>
          <t>Monitorear proceso de elegibilidad.</t>
        </is>
      </c>
      <c r="P14" s="57" t="n"/>
      <c r="Q14" s="5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2"/>
  <sheetViews>
    <sheetView workbookViewId="0">
      <selection activeCell="L11" sqref="L11"/>
    </sheetView>
  </sheetViews>
  <sheetFormatPr baseColWidth="8" defaultRowHeight="14.4"/>
  <sheetData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84" activePane="bottomLeft" state="frozen"/>
      <selection activeCell="A7" sqref="A7:H8"/>
      <selection pane="bottomLeft" activeCell="C5" sqref="C5"/>
    </sheetView>
  </sheetViews>
  <sheetFormatPr baseColWidth="8" defaultRowHeight="14.4"/>
  <cols>
    <col width="13" customWidth="1" style="89" min="1" max="1"/>
    <col width="12" customWidth="1" style="89" min="2" max="2"/>
    <col width="45" customWidth="1" style="89" min="3" max="3"/>
    <col width="13" customWidth="1" style="89" min="4" max="4"/>
    <col width="55" customWidth="1" style="89" min="5" max="5"/>
    <col width="12" customWidth="1" style="89" min="6" max="7"/>
    <col width="18" customWidth="1" style="89" min="8" max="8"/>
  </cols>
  <sheetData>
    <row r="1" ht="28.05" customHeight="1" s="89">
      <c r="A1" s="88" t="inlineStr">
        <is>
          <t>Resultados por Operación — Probabilidad de Logro</t>
        </is>
      </c>
    </row>
    <row r="2" ht="4.95" customHeight="1" s="89"/>
    <row r="3" ht="22.05" customHeight="1" s="89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89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89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89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89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89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89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89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89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89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89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89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89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89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89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89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89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89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89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89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89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89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89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89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89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89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89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89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89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89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89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89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89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89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89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89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89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89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89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89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89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89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89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89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89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89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89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89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89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89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89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89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89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89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89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89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89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89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89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89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89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89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89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89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89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89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89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89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89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89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89">
      <c r="A107" s="90" t="inlineStr">
        <is>
          <t>CR-L1139</t>
        </is>
      </c>
      <c r="B107" s="91" t="inlineStr">
        <is>
          <t>1</t>
        </is>
      </c>
      <c r="C107" s="92" t="inlineStr">
        <is>
          <t>Disminuir los costos de operación vehicular del flujo de transporte de carga que circula por la RVAC que conecta con la GAM</t>
        </is>
      </c>
      <c r="D107" s="90" t="inlineStr">
        <is>
          <t>1.1</t>
        </is>
      </c>
      <c r="E107" s="92" t="inlineStr">
        <is>
          <t>Costos de operación vehicular ponderado en los sitios de las OBIS en el tramo San José – San Ramón [US$ millones]</t>
        </is>
      </c>
      <c r="F107" s="90" t="n">
        <v>39.07</v>
      </c>
      <c r="G107" s="90" t="n">
        <v>34.76</v>
      </c>
      <c r="H107" s="93" t="inlineStr">
        <is>
          <t>Media</t>
        </is>
      </c>
    </row>
    <row r="108" ht="18" customHeight="1" s="89">
      <c r="A108" s="94" t="inlineStr">
        <is>
          <t>CR-L1139</t>
        </is>
      </c>
      <c r="B108" s="95" t="inlineStr">
        <is>
          <t>1</t>
        </is>
      </c>
      <c r="C108" s="96" t="inlineStr">
        <is>
          <t>Disminuir los costos de operación vehicular del flujo de transporte de carga que circula por la RVAC que conecta con la GAM</t>
        </is>
      </c>
      <c r="D108" s="94" t="inlineStr">
        <is>
          <t>1.2</t>
        </is>
      </c>
      <c r="E108" s="96" t="inlineStr">
        <is>
          <t>Costos de operación vehicular ponderado del transporte en el tramo Taras – La Lima [US$ millones]</t>
        </is>
      </c>
      <c r="F108" s="94" t="n">
        <v>24.05</v>
      </c>
      <c r="G108" s="94" t="n">
        <v>11.93</v>
      </c>
      <c r="H108" s="97" t="inlineStr">
        <is>
          <t>Alta</t>
        </is>
      </c>
    </row>
    <row r="109" ht="18" customHeight="1" s="89">
      <c r="A109" s="90" t="inlineStr">
        <is>
          <t>CR-L1139</t>
        </is>
      </c>
      <c r="B109" s="91" t="inlineStr">
        <is>
          <t>2</t>
        </is>
      </c>
      <c r="C109" s="92" t="inlineStr">
        <is>
          <t>Disminuir los tiempos de viaje de los vehículos que circulan por la RVAC que conecta con la GAM</t>
        </is>
      </c>
      <c r="D109" s="90" t="inlineStr">
        <is>
          <t>2.1</t>
        </is>
      </c>
      <c r="E109" s="92" t="inlineStr">
        <is>
          <t>Tiempo de viaje promedio de los vehículos que circulan por el tramo San José - San Ramón en la hora de mayor congestión [minutos]</t>
        </is>
      </c>
      <c r="F109" s="90" t="n">
        <v>75.59999999999999</v>
      </c>
      <c r="G109" s="90" t="n">
        <v>56.1</v>
      </c>
      <c r="H109" s="93" t="inlineStr">
        <is>
          <t>Media</t>
        </is>
      </c>
    </row>
    <row r="110" ht="18" customHeight="1" s="89">
      <c r="A110" s="94" t="inlineStr">
        <is>
          <t>CR-L1139</t>
        </is>
      </c>
      <c r="B110" s="95" t="inlineStr">
        <is>
          <t>2</t>
        </is>
      </c>
      <c r="C110" s="96" t="inlineStr">
        <is>
          <t>Disminuir los tiempos de viaje de los vehículos que circulan por la RVAC que conecta con la GAM</t>
        </is>
      </c>
      <c r="D110" s="94" t="inlineStr">
        <is>
          <t>2.2</t>
        </is>
      </c>
      <c r="E110" s="96" t="inlineStr">
        <is>
          <t>Tiempo de viaje promedio de los vehículos que circulan por el tramo Taras – La Lima en la hora de mayor congestión [minutos]</t>
        </is>
      </c>
      <c r="F110" s="94" t="n">
        <v>10.8</v>
      </c>
      <c r="G110" s="94" t="n">
        <v>4.9</v>
      </c>
      <c r="H110" s="97" t="inlineStr">
        <is>
          <t>Alta</t>
        </is>
      </c>
    </row>
    <row r="111" ht="18" customHeight="1" s="89">
      <c r="A111" s="90" t="inlineStr">
        <is>
          <t>CR-L1139</t>
        </is>
      </c>
      <c r="B111" s="91" t="inlineStr">
        <is>
          <t>3</t>
        </is>
      </c>
      <c r="C111" s="92" t="inlineStr">
        <is>
          <t>Minimizar las emisiones generadas por el transporte en la GAM</t>
        </is>
      </c>
      <c r="D111" s="90" t="inlineStr">
        <is>
          <t>3.1</t>
        </is>
      </c>
      <c r="E111" s="92" t="inlineStr">
        <is>
          <t>Sumario de toneladas retenidas (ahorro) de emisiones de CO2 generadas por los vehículos que circulan en el tramo San José – San Ramón [toneladas]</t>
        </is>
      </c>
      <c r="F111" s="90" t="n">
        <v>0</v>
      </c>
      <c r="G111" s="90" t="n">
        <v>11449</v>
      </c>
      <c r="H111" s="93" t="inlineStr">
        <is>
          <t>Media</t>
        </is>
      </c>
    </row>
    <row r="112" ht="18" customHeight="1" s="89">
      <c r="A112" s="94" t="inlineStr">
        <is>
          <t>CR-L1139</t>
        </is>
      </c>
      <c r="B112" s="95" t="inlineStr">
        <is>
          <t>3</t>
        </is>
      </c>
      <c r="C112" s="96" t="inlineStr">
        <is>
          <t>Minimizar las emisiones generadas por el transporte en la GAM</t>
        </is>
      </c>
      <c r="D112" s="94" t="inlineStr">
        <is>
          <t>3.2</t>
        </is>
      </c>
      <c r="E112" s="96" t="inlineStr">
        <is>
          <t>Sumario de toneladas retenidas (ahorro) de emisiones de CO2 generadas por los vehículos que circulan en el tramo Taras – La Lima [toneladas]</t>
        </is>
      </c>
      <c r="F112" s="94" t="n">
        <v>0</v>
      </c>
      <c r="G112" s="94" t="n">
        <v>3820</v>
      </c>
      <c r="H112" s="97" t="inlineStr">
        <is>
          <t>Alta</t>
        </is>
      </c>
    </row>
    <row r="113" ht="18" customHeight="1" s="89">
      <c r="A113" s="90" t="inlineStr">
        <is>
          <t>CR-L1139</t>
        </is>
      </c>
      <c r="B113" s="91" t="inlineStr">
        <is>
          <t>4</t>
        </is>
      </c>
      <c r="C113" s="92" t="inlineStr">
        <is>
          <t>Mejorar la capacidad técnica e institucional del GDCR para desarrollar proyectos viales mediante esquemas de APP</t>
        </is>
      </c>
      <c r="D113" s="90" t="inlineStr">
        <is>
          <t>4.1</t>
        </is>
      </c>
      <c r="E113" s="92" t="inlineStr">
        <is>
          <t>Estudios de Estructuración integral en al menos 2 proyectos realizados</t>
        </is>
      </c>
      <c r="F113" s="90" t="n">
        <v>0</v>
      </c>
      <c r="G113" s="90" t="n">
        <v>1</v>
      </c>
      <c r="H113" s="9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9"/>
  <sheetViews>
    <sheetView showGridLines="0" workbookViewId="0">
      <pane ySplit="3" topLeftCell="A149" activePane="bottomLeft" state="frozen"/>
      <selection activeCell="A7" sqref="A7:H8"/>
      <selection pane="bottomLeft" activeCell="C9" sqref="C9"/>
    </sheetView>
  </sheetViews>
  <sheetFormatPr baseColWidth="8" defaultRowHeight="14.4"/>
  <cols>
    <col width="13" customWidth="1" style="89" min="1" max="2"/>
    <col width="65" customWidth="1" style="89" min="3" max="3"/>
  </cols>
  <sheetData>
    <row r="1" ht="28.05" customHeight="1" s="89">
      <c r="A1" s="88" t="inlineStr">
        <is>
          <t>Relación Indicadores ↔ Productos Críticos</t>
        </is>
      </c>
    </row>
    <row r="2" ht="4.95" customHeight="1" s="89"/>
    <row r="3" ht="22.05" customHeight="1" s="89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89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89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89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89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89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89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89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89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89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89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89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89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89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89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89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89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89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89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89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89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89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89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89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89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89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89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89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89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89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89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89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89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89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89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89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89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89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89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89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89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89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89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89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89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89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89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89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89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89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89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89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89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89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89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89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89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89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89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89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89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89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89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89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89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89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89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89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 (Incluyendo diseño adaptados a cambio climático)</t>
        </is>
      </c>
    </row>
    <row r="71" ht="18" customHeight="1" s="89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89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89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89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89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89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89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 (incluyendo diseño adaptado a cambio climático)</t>
        </is>
      </c>
    </row>
    <row r="78" ht="18" customHeight="1" s="89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89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89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89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89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89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89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89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89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89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89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89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89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89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89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89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89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89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89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89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89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89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89">
      <c r="A167" s="91" t="inlineStr">
        <is>
          <t>CR-L1139</t>
        </is>
      </c>
      <c r="B167" s="90" t="inlineStr">
        <is>
          <t>1.1</t>
        </is>
      </c>
      <c r="C167" s="90" t="inlineStr">
        <is>
          <t>Lote #4 OBIS corredor San Ramón–San José: Intercambio de Naranjo</t>
        </is>
      </c>
    </row>
    <row r="168" ht="18" customHeight="1" s="89">
      <c r="A168" s="95" t="inlineStr">
        <is>
          <t>CR-L1139</t>
        </is>
      </c>
      <c r="B168" s="94" t="inlineStr">
        <is>
          <t>1.1</t>
        </is>
      </c>
      <c r="C168" s="94" t="inlineStr">
        <is>
          <t>Lote #4 OBIS corredor San Ramón–San José: Intercambio de Coyol</t>
        </is>
      </c>
    </row>
    <row r="169" ht="18" customHeight="1" s="89">
      <c r="A169" s="91" t="inlineStr">
        <is>
          <t>CR-L1139</t>
        </is>
      </c>
      <c r="B169" s="90" t="inlineStr">
        <is>
          <t>1.1</t>
        </is>
      </c>
      <c r="C169" s="90" t="inlineStr">
        <is>
          <t>Lote #4 OBIS – Supervisión D+C Intercambio Coyol</t>
        </is>
      </c>
    </row>
    <row r="170" ht="18" customHeight="1" s="89">
      <c r="A170" s="95" t="inlineStr">
        <is>
          <t>CR-L1139</t>
        </is>
      </c>
      <c r="B170" s="94" t="inlineStr">
        <is>
          <t>1.2</t>
        </is>
      </c>
      <c r="C170" s="94" t="inlineStr">
        <is>
          <t>Tramo Central Sifón – Sucre</t>
        </is>
      </c>
    </row>
    <row r="171" ht="18" customHeight="1" s="89">
      <c r="A171" s="91" t="inlineStr">
        <is>
          <t>CR-L1139</t>
        </is>
      </c>
      <c r="B171" s="90" t="inlineStr">
        <is>
          <t>2.1</t>
        </is>
      </c>
      <c r="C171" s="90" t="inlineStr">
        <is>
          <t>Lote #4 OBIS corredor San Ramón–San José: Intercambio de Naranjo</t>
        </is>
      </c>
    </row>
    <row r="172" ht="18" customHeight="1" s="89">
      <c r="A172" s="95" t="inlineStr">
        <is>
          <t>CR-L1139</t>
        </is>
      </c>
      <c r="B172" s="94" t="inlineStr">
        <is>
          <t>2.1</t>
        </is>
      </c>
      <c r="C172" s="94" t="inlineStr">
        <is>
          <t>Lote #4 OBIS corredor San Ramón–San José: Intercambio de Coyol</t>
        </is>
      </c>
    </row>
    <row r="173" ht="18" customHeight="1" s="89">
      <c r="A173" s="91" t="inlineStr">
        <is>
          <t>CR-L1139</t>
        </is>
      </c>
      <c r="B173" s="90" t="inlineStr">
        <is>
          <t>2.1</t>
        </is>
      </c>
      <c r="C173" s="90" t="inlineStr">
        <is>
          <t>Lote #4 OBIS – Supervisión D+C Intercambio Coyol</t>
        </is>
      </c>
    </row>
    <row r="174" ht="18" customHeight="1" s="89">
      <c r="A174" s="95" t="inlineStr">
        <is>
          <t>CR-L1139</t>
        </is>
      </c>
      <c r="B174" s="94" t="inlineStr">
        <is>
          <t>2.2</t>
        </is>
      </c>
      <c r="C174" s="94" t="inlineStr">
        <is>
          <t>Tramo Central Sifón – Sucre</t>
        </is>
      </c>
    </row>
    <row r="175" ht="18" customHeight="1" s="89">
      <c r="A175" s="91" t="inlineStr">
        <is>
          <t>CR-L1139</t>
        </is>
      </c>
      <c r="B175" s="90" t="inlineStr">
        <is>
          <t>3.1</t>
        </is>
      </c>
      <c r="C175" s="90" t="inlineStr">
        <is>
          <t>Lote #4 OBIS corredor San Ramón–San José: Intercambio de Naranjo</t>
        </is>
      </c>
    </row>
    <row r="176" ht="18" customHeight="1" s="89">
      <c r="A176" s="95" t="inlineStr">
        <is>
          <t>CR-L1139</t>
        </is>
      </c>
      <c r="B176" s="94" t="inlineStr">
        <is>
          <t>3.1</t>
        </is>
      </c>
      <c r="C176" s="94" t="inlineStr">
        <is>
          <t>Lote #4 OBIS corredor San Ramón–San José: Intercambio de Coyol</t>
        </is>
      </c>
    </row>
    <row r="177" ht="18" customHeight="1" s="89">
      <c r="A177" s="91" t="inlineStr">
        <is>
          <t>CR-L1139</t>
        </is>
      </c>
      <c r="B177" s="90" t="inlineStr">
        <is>
          <t>3.1</t>
        </is>
      </c>
      <c r="C177" s="90" t="inlineStr">
        <is>
          <t>Lote #4 OBIS – Supervisión D+C Intercambio Coyol</t>
        </is>
      </c>
    </row>
    <row r="178" ht="18" customHeight="1" s="89">
      <c r="A178" s="95" t="inlineStr">
        <is>
          <t>CR-L1139</t>
        </is>
      </c>
      <c r="B178" s="94" t="inlineStr">
        <is>
          <t>3.2</t>
        </is>
      </c>
      <c r="C178" s="94" t="inlineStr">
        <is>
          <t>Tramo Central Sifón – Sucre</t>
        </is>
      </c>
    </row>
    <row r="179" ht="18" customHeight="1" s="89">
      <c r="A179" s="91" t="inlineStr">
        <is>
          <t>CR-L1139</t>
        </is>
      </c>
      <c r="B179" s="90" t="inlineStr">
        <is>
          <t>4.1</t>
        </is>
      </c>
      <c r="C179" s="90" t="inlineStr">
        <is>
          <t>Estudios de Estructuración integral en al menos dos proyectos APP realizados</t>
        </is>
      </c>
    </row>
  </sheetData>
  <autoFilter ref="A3:C179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51"/>
  <sheetViews>
    <sheetView tabSelected="1" topLeftCell="A28" workbookViewId="0">
      <selection activeCell="B54" sqref="B54"/>
    </sheetView>
  </sheetViews>
  <sheetFormatPr baseColWidth="8" defaultRowHeight="14.4"/>
  <cols>
    <col width="3.6640625" customWidth="1" style="89" min="1" max="1"/>
    <col width="15" bestFit="1" customWidth="1" style="89" min="2" max="2"/>
    <col width="17.33203125" customWidth="1" style="89" min="3" max="3"/>
    <col width="36.44140625" customWidth="1" style="89" min="4" max="4"/>
    <col width="42" customWidth="1" style="89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0" customWidth="1" style="89" min="1" max="1"/>
    <col width="18" customWidth="1" style="89" min="2" max="2"/>
    <col width="20" customWidth="1" style="89" min="3" max="3"/>
    <col width="60" customWidth="1" style="89" min="4" max="4"/>
    <col width="18" customWidth="1" style="89" min="5" max="5"/>
    <col width="18" customWidth="1" style="89" min="6" max="6"/>
  </cols>
  <sheetData>
    <row r="1" ht="22" customHeight="1" s="89">
      <c r="A1" s="98" t="inlineStr">
        <is>
          <t>Clause_ID</t>
        </is>
      </c>
      <c r="B1" s="98" t="inlineStr">
        <is>
          <t>Fecha_Comentario</t>
        </is>
      </c>
      <c r="C1" s="98" t="inlineStr">
        <is>
          <t>Autor</t>
        </is>
      </c>
      <c r="D1" s="98" t="inlineStr">
        <is>
          <t>Comentario</t>
        </is>
      </c>
      <c r="E1" s="98" t="inlineStr">
        <is>
          <t>Estado_Gestion</t>
        </is>
      </c>
      <c r="F1" s="98" t="inlineStr">
        <is>
          <t>Fecha_Compromiso</t>
        </is>
      </c>
    </row>
    <row r="2">
      <c r="A2" t="inlineStr">
        <is>
          <t>701558</t>
        </is>
      </c>
      <c r="B2" s="99" t="n">
        <v>46177</v>
      </c>
      <c r="C2" t="inlineStr">
        <is>
          <t>alvarobo</t>
        </is>
      </c>
      <c r="D2" t="inlineStr">
        <is>
          <t>Recordatorio enviado al jefe de equipo</t>
        </is>
      </c>
      <c r="E2" t="inlineStr">
        <is>
          <t>En gestión</t>
        </is>
      </c>
      <c r="F2" s="99" t="n">
        <v>46178</v>
      </c>
    </row>
    <row r="3">
      <c r="A3" t="inlineStr">
        <is>
          <t>664364</t>
        </is>
      </c>
      <c r="B3" s="99" t="n">
        <v>46177</v>
      </c>
      <c r="C3" t="inlineStr">
        <is>
          <t>alvarobo</t>
        </is>
      </c>
      <c r="D3" t="inlineStr">
        <is>
          <t>Recordatorio enviado al jefe de equipo</t>
        </is>
      </c>
      <c r="E3" t="inlineStr">
        <is>
          <t>En gestión</t>
        </is>
      </c>
      <c r="F3" s="99" t="n">
        <v>46178</v>
      </c>
    </row>
    <row r="4">
      <c r="A4" t="inlineStr">
        <is>
          <t>705320</t>
        </is>
      </c>
      <c r="B4" s="99" t="n">
        <v>46177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99" t="n">
        <v>46178</v>
      </c>
    </row>
    <row r="5">
      <c r="A5" t="inlineStr">
        <is>
          <t>705321</t>
        </is>
      </c>
      <c r="B5" s="99" t="n">
        <v>46177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99" t="n">
        <v>46178</v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2026-06-04T07:12:41Z</dcterms:modified>
  <cp:lastModifiedBy>Borbon Munoz, Alvaro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