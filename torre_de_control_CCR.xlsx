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idbg.sharepoint.com/sites/CIDCCR_CIDCCR_EquipoOperaciones/Shared Documents/General/torre de control/"/>
    </mc:Choice>
  </mc:AlternateContent>
  <xr:revisionPtr revIDLastSave="154" documentId="11_7C5F437705275A81942FA204339861AC582022AA" xr6:coauthVersionLast="47" xr6:coauthVersionMax="47" xr10:uidLastSave="{683A396A-7A8A-4E6B-92EC-328A73AF09DC}"/>
  <bookViews>
    <workbookView xWindow="1035" yWindow="900" windowWidth="19935" windowHeight="13815" firstSheet="4" activeTab="5" xr2:uid="{00000000-000D-0000-FFFF-FFFF00000000}"/>
  </bookViews>
  <sheets>
    <sheet name="documentos" sheetId="1" r:id="rId1"/>
    <sheet name="equipo" sheetId="2" r:id="rId2"/>
    <sheet name="clausulas vencidas" sheetId="3" r:id="rId3"/>
    <sheet name="clausulas 180 dias" sheetId="4" r:id="rId4"/>
    <sheet name="productos criticos" sheetId="5" r:id="rId5"/>
    <sheet name="PMR" sheetId="6" r:id="rId6"/>
    <sheet name="change log" sheetId="7" r:id="rId7"/>
    <sheet name="datos_ops" sheetId="8" r:id="rId8"/>
  </sheets>
  <definedNames>
    <definedName name="_xlnm._FilterDatabase" localSheetId="3" hidden="1">'clausulas 180 dias'!$B$4:$K$21</definedName>
    <definedName name="_xlnm._FilterDatabase" localSheetId="0" hidden="1">documentos!$A$3:$D$59</definedName>
    <definedName name="_xlnm._FilterDatabase" localSheetId="4" hidden="1">'productos criticos'!$B$3:$G$26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10" i="6"/>
  <c r="G11" i="6"/>
  <c r="G13" i="6"/>
  <c r="G14" i="6"/>
  <c r="G6" i="6"/>
  <c r="G5" i="6"/>
  <c r="K21" i="4"/>
  <c r="K20" i="4"/>
  <c r="K19" i="4"/>
  <c r="K18" i="4"/>
  <c r="K17" i="4"/>
  <c r="K16" i="4"/>
  <c r="K15" i="4"/>
  <c r="K14" i="4"/>
  <c r="K13" i="4"/>
  <c r="K12" i="4"/>
  <c r="K11" i="4"/>
  <c r="K10" i="4"/>
  <c r="K9" i="4"/>
  <c r="K8" i="4"/>
  <c r="K7" i="4"/>
  <c r="K6" i="4"/>
  <c r="K5" i="4"/>
</calcChain>
</file>

<file path=xl/sharedStrings.xml><?xml version="1.0" encoding="utf-8"?>
<sst xmlns="http://schemas.openxmlformats.org/spreadsheetml/2006/main" count="977" uniqueCount="434">
  <si>
    <t>Documentos por Operación — Torre de Control CCR</t>
  </si>
  <si>
    <t>Operación</t>
  </si>
  <si>
    <t>Tipo de Documento</t>
  </si>
  <si>
    <t>Nombre / ID</t>
  </si>
  <si>
    <t>URL</t>
  </si>
  <si>
    <t>CR-L1032</t>
  </si>
  <si>
    <t>Firma autorizada</t>
  </si>
  <si>
    <t>EZIDB0000195-360818819-5473</t>
  </si>
  <si>
    <t>https://ezws.iadb.org/getdocument.aspx?docnum=EZIDB0000195-360818819-5473</t>
  </si>
  <si>
    <t>EZIDB0000195-360818819-5467</t>
  </si>
  <si>
    <t>https://ezws.iadb.org/getdocument.aspx?docnum=EZIDB0000195-360818819-5467</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</si>
  <si>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</si>
  <si>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</si>
  <si>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</si>
  <si>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</si>
  <si>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</si>
  <si>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</si>
  <si>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</si>
  <si>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</si>
  <si>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</si>
  <si>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</si>
  <si>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EZIDB0000195-597680473-211</t>
  </si>
  <si>
    <t>CR-J0002</t>
  </si>
  <si>
    <t>EZIDB0000191-1939238704-7</t>
  </si>
  <si>
    <t>https://idbg.sharepoint.com/teams/EZ-CR-GRF/CR-J0002/20%20Contracts%20and%20Clauses/Registro%20de%20firmas.pdf</t>
  </si>
  <si>
    <t>CR-L1151</t>
  </si>
  <si>
    <t>EZIDB0000642-138014739-27</t>
  </si>
  <si>
    <t>https://ezws.iadb.org/getdocument.aspx?docnum=EZIDB0000642-138014739-27</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</si>
  <si>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</si>
  <si>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</si>
  <si>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</si>
  <si>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</si>
  <si>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</si>
  <si>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</si>
  <si>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</si>
  <si>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</si>
  <si>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</si>
  <si>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</si>
  <si>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</si>
  <si>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</si>
  <si>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</si>
  <si>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CR-L1152</t>
  </si>
  <si>
    <t>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</si>
  <si>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</si>
  <si>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</si>
  <si>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</si>
  <si>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</si>
  <si>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</si>
  <si>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</si>
  <si>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</si>
  <si>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</si>
  <si>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</si>
  <si>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</si>
  <si>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</si>
  <si>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</si>
  <si>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</si>
  <si>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</si>
  <si>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</si>
  <si>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CR-L1157</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</si>
  <si>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</si>
  <si>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</si>
  <si>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</si>
  <si>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</si>
  <si>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</si>
  <si>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</si>
  <si>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</si>
  <si>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</si>
  <si>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</si>
  <si>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</si>
  <si>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</si>
  <si>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</si>
  <si>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</si>
  <si>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</si>
  <si>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</si>
  <si>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</si>
  <si>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</si>
  <si>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</si>
  <si>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</si>
  <si>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</si>
  <si>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</si>
  <si>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</si>
  <si>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</si>
  <si>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</si>
  <si>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</si>
  <si>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</si>
  <si>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</si>
  <si>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</si>
  <si>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</si>
  <si>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</si>
  <si>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</si>
  <si>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</si>
  <si>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</si>
  <si>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</si>
  <si>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</si>
  <si>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</si>
  <si>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</si>
  <si>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</si>
  <si>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</si>
  <si>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</si>
  <si>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</si>
  <si>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</si>
  <si>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</si>
  <si>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</si>
  <si>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</si>
  <si>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</si>
  <si>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</si>
  <si>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</si>
  <si>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</si>
  <si>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</si>
  <si>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</si>
  <si>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</si>
  <si>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</si>
  <si>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</si>
  <si>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</si>
  <si>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</si>
  <si>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</si>
  <si>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</si>
  <si>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</si>
  <si>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</si>
  <si>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</si>
  <si>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</si>
  <si>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</si>
  <si>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</si>
  <si>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</si>
  <si>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EZIDB0000195-822257051-222</t>
  </si>
  <si>
    <t>https://idbg.sharepoint.com/teams/EZ-CR-LON/CR-L1137/_layouts/15/DocIdRedir.aspx?ID=EZIDB0000195-822257051-222</t>
  </si>
  <si>
    <t>EZIDB0000195-1127813953-75</t>
  </si>
  <si>
    <t>Fecha revision</t>
  </si>
  <si>
    <t>Rol</t>
  </si>
  <si>
    <t>Jefe de Equipo</t>
  </si>
  <si>
    <t>ANSALDO, MARIANO PEDRO</t>
  </si>
  <si>
    <t>CORCUERA-SANTAMARIA, SANDRA</t>
  </si>
  <si>
    <t>POSADAS, ARNALDO ENRIQUE</t>
  </si>
  <si>
    <t>CASTRO DE SOUZA MAROTTA, LUANA</t>
  </si>
  <si>
    <t>MEJIA REYES, EDWIN ORLANDO</t>
  </si>
  <si>
    <t>Jefe de Equipo alterno</t>
  </si>
  <si>
    <t>RODRIGUEZ PORCEL, MANUEL</t>
  </si>
  <si>
    <t>ABIZANDA MIRO, BEATRIZ</t>
  </si>
  <si>
    <t>SAIZ, ANA MARIA</t>
  </si>
  <si>
    <t>BIEHL, MARIA LORETO</t>
  </si>
  <si>
    <t>ALARCON, ARTURO</t>
  </si>
  <si>
    <t>PARAISO PINTO FURTADO LUZES, MARTA</t>
  </si>
  <si>
    <t>Abogado</t>
  </si>
  <si>
    <t>BARRAGAN CRESPO, ENRIQUE IGNACIO</t>
  </si>
  <si>
    <t>LANDAZURI-LEVEY, MARIA C.</t>
  </si>
  <si>
    <t>LUGO MORENO, MONICA BIBIANA</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</si>
  <si>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</si>
  <si>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</si>
  <si>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</si>
  <si>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</si>
  <si>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</si>
  <si>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</si>
  <si>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</si>
  <si>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</si>
  <si>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Equipo de ESG</t>
  </si>
  <si>
    <t>UGALDE VARGAS, DAYANA</t>
  </si>
  <si>
    <t>PASTOR PIMENTEL, SEABELL ANNETTE</t>
  </si>
  <si>
    <t>ARELLANO CASTILLO, RAUL</t>
  </si>
  <si>
    <t>HERNANDEZ, GABRIEL ANTONIO</t>
  </si>
  <si>
    <t xml:space="preserve"> FARINACCIO, ALESSANDRO</t>
  </si>
  <si>
    <t>PORTA GARCIA, RAIMON</t>
  </si>
  <si>
    <t>Analista 1</t>
  </si>
  <si>
    <t>QUIROS SOLANO FERNANDO ANDRES</t>
  </si>
  <si>
    <t>BUSTOS BRENES, JUAN CARLOS</t>
  </si>
  <si>
    <t>BORBON MUNOZ, ALVARO</t>
  </si>
  <si>
    <t>ALVAREZ GONZALEZ OSCAR ANDRES</t>
  </si>
  <si>
    <t>Analista 2</t>
  </si>
  <si>
    <t>VEGA GAMBOA JORGE DANIEL</t>
  </si>
  <si>
    <t>MORA VARGAS, GREIVIN GERARDO</t>
  </si>
  <si>
    <t>YGLESIAS FISCHEL, SOFIA</t>
  </si>
  <si>
    <t>VIVIANA NUNEZ DE URQUIDI</t>
  </si>
  <si>
    <t>Analista 3</t>
  </si>
  <si>
    <t>GUTIERRES WUERZIUS, LUCIANO</t>
  </si>
  <si>
    <t>Analista 4</t>
  </si>
  <si>
    <t>GONZALO RODRIGUEZ VALVERDE</t>
  </si>
  <si>
    <t>Analista 5</t>
  </si>
  <si>
    <t>Analista 6</t>
  </si>
  <si>
    <t>Clause ID</t>
  </si>
  <si>
    <t>Clause Number</t>
  </si>
  <si>
    <t>Programa</t>
  </si>
  <si>
    <t>UDR</t>
  </si>
  <si>
    <t>Status Cláusula</t>
  </si>
  <si>
    <t>Tipo</t>
  </si>
  <si>
    <t>Descripción de la cláusula</t>
  </si>
  <si>
    <t>Fecha de vencimiento</t>
  </si>
  <si>
    <t>Comentario</t>
  </si>
  <si>
    <t>5.02 (i)</t>
  </si>
  <si>
    <t>4871/OC-CR</t>
  </si>
  <si>
    <t>CID/CCR</t>
  </si>
  <si>
    <t>TRACK</t>
  </si>
  <si>
    <t>Financial</t>
  </si>
  <si>
    <t>Informes financieros semestrales no auditados del Programa</t>
  </si>
  <si>
    <t>En revisión de especialista financiero</t>
  </si>
  <si>
    <t>Cláusula 4.08 - S1</t>
  </si>
  <si>
    <t>Sectorial</t>
  </si>
  <si>
    <t>Informe de Mantenimiento de obras y equipos</t>
  </si>
  <si>
    <t>Recordatorio enviado al ejecutor</t>
  </si>
  <si>
    <t>Cláusula 5.03</t>
  </si>
  <si>
    <t>Datos Comparativos anuales de las matrices de resultados</t>
  </si>
  <si>
    <t>Completada 21/abril</t>
  </si>
  <si>
    <t>4.02 (b)</t>
  </si>
  <si>
    <t>3072/CH-CR</t>
  </si>
  <si>
    <t>Informe Anual de Mantenimiento</t>
  </si>
  <si>
    <t>3071/OC-CR</t>
  </si>
  <si>
    <t>8.03</t>
  </si>
  <si>
    <t>Informe Semestral</t>
  </si>
  <si>
    <t>En revisión</t>
  </si>
  <si>
    <t>4.9 (b)</t>
  </si>
  <si>
    <t>4507/OC-CR</t>
  </si>
  <si>
    <t>Mantenimiento</t>
  </si>
  <si>
    <t>5.01 (c) y 7.02 - II Semestre 2025</t>
  </si>
  <si>
    <t>Informe Semestral de Progreso (II Semestre 2025)</t>
  </si>
  <si>
    <t>5.01 (c) - II Semestre 2025</t>
  </si>
  <si>
    <t>4864/OC-CR</t>
  </si>
  <si>
    <t>Informe Semestral de Progreso</t>
  </si>
  <si>
    <t>Cláusula 4.07</t>
  </si>
  <si>
    <t>Mantenimiento: Reporte de Vigencia y estado de planes de mantenimiento de las obras.</t>
  </si>
  <si>
    <t>Contract ID</t>
  </si>
  <si>
    <t>LMS Number</t>
  </si>
  <si>
    <t>Clause Status</t>
  </si>
  <si>
    <t>Clause Type</t>
  </si>
  <si>
    <t>Clause Description</t>
  </si>
  <si>
    <t>Current Expiration Date</t>
  </si>
  <si>
    <t>Days to Expiration</t>
  </si>
  <si>
    <t>Cláusula 2.04 de las Estipulaciones Especiales</t>
  </si>
  <si>
    <t>Fecha de Último Desembolso</t>
  </si>
  <si>
    <t>5.02 (iii)</t>
  </si>
  <si>
    <t>Estados Financieros Anuales auditados del Programa</t>
  </si>
  <si>
    <t>5.03</t>
  </si>
  <si>
    <t>Estados Financieros Auditados Anuales</t>
  </si>
  <si>
    <t>Informes Financieros No Auditados Semestrales</t>
  </si>
  <si>
    <t>Estados Financieros Auditados del Programa</t>
  </si>
  <si>
    <t>7.03</t>
  </si>
  <si>
    <t>Informe de Auditoría Financiera Externa</t>
  </si>
  <si>
    <t>5.02 y 7.03 (a)</t>
  </si>
  <si>
    <t>5823/OC-CR</t>
  </si>
  <si>
    <t>Informes de Auditoría Financiera Externa</t>
  </si>
  <si>
    <t>5.03 (a)</t>
  </si>
  <si>
    <t>Informe de Evaluación Intermedia</t>
  </si>
  <si>
    <t>5.01 (c) - I Semestre 2026</t>
  </si>
  <si>
    <t>Informe Final Estados Financieros Auditados del Programa</t>
  </si>
  <si>
    <t>Informes Semestrales</t>
  </si>
  <si>
    <t>5.01 (c) y 7.02</t>
  </si>
  <si>
    <t>Informes Semestrales de Progreso</t>
  </si>
  <si>
    <t>Fecha de corte: 06 abril 2026</t>
  </si>
  <si>
    <t>Operacion</t>
  </si>
  <si>
    <t>Producto Crítico</t>
  </si>
  <si>
    <t>Estado</t>
  </si>
  <si>
    <t>Adquisición Crítica</t>
  </si>
  <si>
    <t>Riesgos/Comentarios</t>
  </si>
  <si>
    <t>Resultado asociado</t>
  </si>
  <si>
    <t xml:space="preserve">Departamentos de la FP capacitados en análisis criminal y monitoreo de dinámicas delictivas </t>
  </si>
  <si>
    <t>Logrado</t>
  </si>
  <si>
    <t>1.1 Homicidios en distritos priorizados  [tasa] y 1.2 Asaltos en distritos priorizados [tasa]</t>
  </si>
  <si>
    <t>Estrategias policiales basadas en evidencia diseñadas e implementadas</t>
  </si>
  <si>
    <t>En tiempo</t>
  </si>
  <si>
    <t>Delegaciones diseñadas, construidas, equipadas y operando bajo el enfoque de policía comunitaria</t>
  </si>
  <si>
    <t>Retrasado</t>
  </si>
  <si>
    <t>DP Limón y El Roble</t>
  </si>
  <si>
    <t>Procesos estimados para finalizar en 2027 cerca del fin del plazo de desembolsos</t>
  </si>
  <si>
    <t>Centro de Mando y Control Policial construido, equipado y en funcionamiento</t>
  </si>
  <si>
    <t>D+C obra y adenda para suministro de equipo</t>
  </si>
  <si>
    <t>Atrasos de 3 meses en obra y adenda no se ha formalizado ante el Banco podrían afectar finalización en 2026</t>
  </si>
  <si>
    <t>Estrategia de comunicación social de los CCP, diseñada e implementada</t>
  </si>
  <si>
    <t>2.1 Exclusión escolar (fuera del sistema educativo) de jóvenes entre 12 y 17 años que participan en los CCP [porcentaje] y 2.2 Proporción de aprehensiones de jóvenes menores de edad en los distritos de influencia de los CCP con respecto al total país [porcentaje]</t>
  </si>
  <si>
    <t>Municipalidades y grupos de sociedad civil capacitados y en prevención de violencia</t>
  </si>
  <si>
    <t>Centros Cívicos diseñados, construidos, equipados y operando</t>
  </si>
  <si>
    <t>CCP Perez Zeledón, San José y Goicoechea</t>
  </si>
  <si>
    <t xml:space="preserve">Modelo de gestión y atención de los CCP homologado, fortalecido y en funcionamiento </t>
  </si>
  <si>
    <t>Procesos de regularización realizados como parte del apoyo al mecanismo de regularización de personas migrantes</t>
  </si>
  <si>
    <t>Contratación de personal de apoyo a los procesos</t>
  </si>
  <si>
    <t>Capacidad de presupuestación de fondos limita el ritmo de contratación de personal de apoyo</t>
  </si>
  <si>
    <t>1.1 Tiempo promedio entre solicitud y entrevista para el trámite de obtención del status de refugiado [años] y 1.4 Porcentaje de solicitudes de protección especial complementaria que son resueltas en un plazo menor a un año [%]</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</si>
  <si>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</si>
  <si>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</si>
  <si>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</si>
  <si>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</si>
  <si>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El proceso de adquisición no ha iniciado</t>
  </si>
  <si>
    <t>1.2 Porcentaje promedio de reacciones xenófobas a tweets de cuentas migratorias institucionales [%]</t>
  </si>
  <si>
    <t>Centro Cívico de Upala construido, equipado y en funcionamiento</t>
  </si>
  <si>
    <t>D+C para CCP de Upala</t>
  </si>
  <si>
    <t>1.3 Ratio de migrantes que asisten de manera recurrente a los centros de acogida y participan en actividades para la prevención social de la violencia [ratio]</t>
  </si>
  <si>
    <t>Programas de formación para la prevención de la trata de personas y tráfico ilegal de migrantes</t>
  </si>
  <si>
    <t>Formadores expertos en prevención de tráfico ilícito (3 consultores individuales)</t>
  </si>
  <si>
    <t>Procesos formativos para el fortalecimiento de los Centros Cívico</t>
  </si>
  <si>
    <t>Gestor metodológico y Facilitadores de formación en CCP (cons. Individuales)</t>
  </si>
  <si>
    <t xml:space="preserve">Tramo Central Sifón – Sucre </t>
  </si>
  <si>
    <t>D+C del Tramo Central RN No.35</t>
  </si>
  <si>
    <t>En análisis por FMP y TSP junto con el OE sobre iguiente estado del proceso: declaración de infructuoso o cancelación.</t>
  </si>
  <si>
    <t>1.1 Tiempo promedio de recorrido por vehículo en el tramo Florencia RN-1
1.2 Costo de operación vehicular en el tramo de Florencia RN-1 (vehículo liviano)
1.3. Nivel de seguridad vial (cantidad de estrellas mediante la metodología de iRAP) de la RN-35
1.5. Sitios de la vía en el tramo de Abundancia Sifón (Tramo Central) afectados por inundaciones debido a precipitaciones con un período de retorno de 100 años.</t>
  </si>
  <si>
    <t>Punta Sur de la RN-35 diseñado y construido</t>
  </si>
  <si>
    <t>D+C+Mantenimiento por estándares de servicio de Punta Sur RN No.35</t>
  </si>
  <si>
    <t>Lote 1 firmado
Lote 2 en revisión jurídica del MOPT para firma de enmienda ya revisada y con NOB del Banco.</t>
  </si>
  <si>
    <t>1.1 Tiempo promedio de recorrido por vehículo en el tramo Florencia RN-1
1.2 Costo de operación vehicular en el tramo de Florencia RN-1 (vehículo liviano)
1.3. Nivel de seguridad vial (cantidad de estrellas mediante la metodología de iRAP) de la RN-35</t>
  </si>
  <si>
    <t>PCR</t>
  </si>
  <si>
    <t>Consultor individual que realice el PCR de operación</t>
  </si>
  <si>
    <t>Ultimos Paquete de Obras (Caminos y Puentes)</t>
  </si>
  <si>
    <t>Construcción de obras por paquetes</t>
  </si>
  <si>
    <t>En trámite compensaciones económicas finales</t>
  </si>
  <si>
    <t>1.1 Densidad de vías cantonales en buen estado
2.1 1 Costos de operación vehicular en tramos que pasan de Lastre o Tierra a Tratamiento Bituminoso Simple (TBS)
3.1 Costos de viaje en tramos que pasan de Lastre o Tierra a Tratamiento Bituminoso Simple (TBS)</t>
  </si>
  <si>
    <t>1.6 Lote #4 Programa de OBIS en el corredor San Ramón – San José: Intercambios San Ramón, Naranjo, Grecia y El Coyol (Fuente BID y Contrapartida).</t>
  </si>
  <si>
    <t>D+C Intercambio de Naranjo</t>
  </si>
  <si>
    <t xml:space="preserve">Contrato adjudicado aún no firmado.
En proceso de finalizar expropiaciones. </t>
  </si>
  <si>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</si>
  <si>
    <t>D+C Intercambio de Coyol</t>
  </si>
  <si>
    <t>En revisión enmienda al contrato por ajustes en el diseño final que implicaría aumento de alcance, costo y tiempo.</t>
  </si>
  <si>
    <t>Lote #4 Programa de OBIS en el corredor San Ramón – San José: Intercambios San Ramón, Naranjo, Grecia y El Coyol (Fuente BID y Contrapartida).</t>
  </si>
  <si>
    <t>Supervisión D+C Intercambio Coyol
(firma consultora)</t>
  </si>
  <si>
    <t>NOB condicionada a ajustes al documento de SDP.
Estimado por US$2.5 millones.</t>
  </si>
  <si>
    <t>2.1 Estudios de Estructuración integral en al menos dos proyectos APP realizados (Fuente BID).</t>
  </si>
  <si>
    <t>Estructuración APP #2</t>
  </si>
  <si>
    <t>Proyecto #2 aún no definido por el OE.</t>
  </si>
  <si>
    <t>4.1 Proyectos de Obras Viales Estructurados bajo la modalidad de APP</t>
  </si>
  <si>
    <t>CR-G1008</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</si>
  <si>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</si>
  <si>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</si>
  <si>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</si>
  <si>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
1. 2 Número total de espacios públicos que disponen de sistema saneamiento nuevos o mejorados</t>
  </si>
  <si>
    <t>1.1 Número total de hogares que disponen de sistema de saneamiento nuevo o mejorado y/o conexión al agua potable</t>
  </si>
  <si>
    <t>Diseño de la obra e inspección (sistemas de saneamiento).</t>
  </si>
  <si>
    <t>1.1 Número total de hogares que disponen de sistema de saneamiento nuevo o mejorado y/o conexión al agua potable.</t>
  </si>
  <si>
    <t>Sistemas de Saneamiento en hogares rurales (construcción de la obra)</t>
  </si>
  <si>
    <t>Tramo Limonal - Cañas rehabilitado y ampliado</t>
  </si>
  <si>
    <t>Construcción de la Ampliación y Rehabilitación del Tramo de Carretera Limonal-Cañas</t>
  </si>
  <si>
    <t>Evaluación de resultados pendiente para confirmar cumplimiento de indicadores</t>
  </si>
  <si>
    <t>1.1 Costo de operación de automóvil Limonal – Cañas
1.2 Costo de operación de camioneta Limonal – Cañas
1.3 Costo de operación de autobús Limonal – Cañas
1.4 Costo de operación de camión C2 Limonal – Cañas
1.5 Costo de operación de camión C3 Limonal – Cañas
1.6 Costo de operación de camión articulado Limonal – Cañas
2.1 Tiempo medio de viaje de automóvil Limonal – Cañas
2.2 Tiempo medio de viaje de camioneta Limonal – Cañas
2.3 Tiempo medio de viaje de autobús Limonal – Cañas
2.4 Tiempo medio de viaje de camión C2 Limonal – Cañas
2.5 Tiempo medio de viaje de camión C3 Limonal – Cañas
2.6 Tiempo medio de viaje de camión articulado Limonal – Cañas
3.2 Nivel de seguridad de la vía del tramo Limonal - Cañas</t>
  </si>
  <si>
    <t>Tramo Playa Naranjo  - Paquera rehabilitado y ampliado</t>
  </si>
  <si>
    <t>Construcción de la Ampliación y Rehabilitación del Tramo de Carretera Playa Naranjo – Paquera RN 160</t>
  </si>
  <si>
    <t>1.7 Costo de operación de automóvil Playa Naranjo - Paquera
1.8 Costo de operación de camioneta Playa Naranjo - Paquera
1.9 Costo de operación de autobús Playa Naranjo - Paquera
1.10 Costo de operación de camión C2 Playa Naranjo - Paquera
1.11 Costo de operación de camión C3 Playa Naranjo - Paquera
1.12 Costo de operación de camión articulado Playa Naranjo - Paquera
2.7 Tiempo medio de viaje de automóvil Playa Naranjo - Paquera
2.8 Tiempo medio de viaje de camioneta Playa Naranjo - Paquera
2.9 Tiempo medio de viaje de autobús Playa Naranjo - Paquera
2.10 Tiempo medio de viaje de camión C2 Playa Naranjo - Paquera
2.11 Tiempo medio de viaje de camión C3 Playa Naranjo - Paquera
2.12 Tiempo medio de viaje de camión articulado Playa Naranjo - Paquera
3.3 Nivel de seguridad de la vía del tramo Playa Naranjo - Paquera</t>
  </si>
  <si>
    <t>Tramo Barranca-Limonal rehabilitado y ampliado</t>
  </si>
  <si>
    <t>Rehabilitación y ampliación a cuatro carriles de la Ruta Nacional No. 1, Sección Barranca – Limonal (SICOP 2025LY-00001-0003000001)</t>
  </si>
  <si>
    <t>La unidad ejecutora no tiene responsabilidad directa sobre el proceso al estar a cargo de CONAVI con contrapartida
El plazo de ejecución de las obras supera el plazo actual del programa PIT</t>
  </si>
  <si>
    <t xml:space="preserve">1.13 Costo de operación de automóvil Barranca - Limonal
1.14 Costo de operación de camioneta Barranca - Limonal
1.15 Costo de operación de autobús Barranca - Limonal
1.16 Costo de operación de camión C2 Barranca - Limonal
1.17 Costo de operación de camión C3 Barranca - Limonal
1.18 Costo de operación de camión articulado Barranca - Limonal
2.13 Tiempo medio de viaje de automóvil Barranca - Limonal
2.14 Tiempo medio de viaje de camioneta Barranca - Limonal
2.15 Tiempo medio de viaje de autobús Barranca - Limonal
2.16 Tiempo medio de viaje de camión C2 Barranca - Limonal
2.17 Tiempo medio de viaje de camión C3 Barranca - Limonal
2.18 Tiempo medio de viaje de camión articulado Barranca - Limonal
3.1 Nivel de seguridad de la vía del tramo Barranca Limonal </t>
  </si>
  <si>
    <t>Rompeolas de caldera rehabilitado y ampliado</t>
  </si>
  <si>
    <t xml:space="preserve">3.4 Probabilidad de ocurrencia de una falla grave en el rompeolas del Puerto de Caldera </t>
  </si>
  <si>
    <t>Terminales de transbordadores rehabilitadas</t>
  </si>
  <si>
    <t xml:space="preserve">3.5 Porcentaje de tiempo de operatividad de las terminales de transbordadores del Golfo de Nicoya 
3.6 Aumento de satisfacción de usuarios de las terminales de Transbordadores (Hombres) 
3.7 Aumento de satisfacción de usuarios de las terminales de Transbordadores (Mujeres) </t>
  </si>
  <si>
    <t>Ciclo I-2026 (Con corte de datos a dic 2025)</t>
  </si>
  <si>
    <t>Desembolsos</t>
  </si>
  <si>
    <t>SPI</t>
  </si>
  <si>
    <t>SPI(a)</t>
  </si>
  <si>
    <t>CPI</t>
  </si>
  <si>
    <t>CPI(a)</t>
  </si>
  <si>
    <t>meses desde 95%</t>
  </si>
  <si>
    <t>Etapa</t>
  </si>
  <si>
    <t>Comentarios de simulación PMR</t>
  </si>
  <si>
    <t>Plan Acción 2026</t>
  </si>
  <si>
    <t>ALERTA</t>
  </si>
  <si>
    <t>N/A</t>
  </si>
  <si>
    <t xml:space="preserve">Mantiene como meta física finalizar Barranca-Limonal y 18km de ruta 35, así como una meta financiera de $113m para el 2026. Esto genera una alta probabilidad de que la operación finalice con una clasificación de problema (ningún sub-indicador estaría satisfactorio: ni desembolsos, ni metas físicas ni metas financieras planeadas para el año). </t>
  </si>
  <si>
    <t>Asegurar la finalización de pagos de obras complementarias y expropiaciones, así como gastos de ruta 35 con cargo a la operación.</t>
  </si>
  <si>
    <t>SATISFACTORIO</t>
  </si>
  <si>
    <t>No se advierten problemas para mantener la clasificación (operación en cierre)</t>
  </si>
  <si>
    <t>No se anticipa riesgo de cambio de clasificación en 2026. Para mantener el indicador de desembolsos en satisfactorio sólo necesita desembolsar $9m en 2026 ($21,6m planeados). Riesgo medio de que SPI y CPI pasen a alerta en función de los gastos realmente reportados para 2026, pero los desembolsos, SPI(a) y CPI(a) mantendrían la operación en satisfactorio.</t>
  </si>
  <si>
    <t>Asegurar un desembolso de al menos $9m en 2026. Monitorear avance financiero de intercambios y Taras la Lima para evaluar impacto de metas físicas y financieras en 2027.</t>
  </si>
  <si>
    <t>El indicador de desembolsos requiere que se desmbolse el total planeado para 2026 ($20,2m) para mantenerse en alerta (requiere cerca de $35m para pasar a satisfactorio). El SPI probablemente pasará a alerta en 2026 y el SPI(a) requiere ejecutar alrededor de $8m en punta sur para mantenerse satisfactorio. Combinación de desembolsos y SPI en alerta + SPI(a), CPI y CPI(a) en satisfactorio mantendrían la operación en satisfactorio.</t>
  </si>
  <si>
    <t>Asegurar al menos la meta de desembolsos de la operación ($20,2m) y garantizar que gastos de punta sur + obras complementarias de punta norte superen los $8m (80% de lo planeado).</t>
  </si>
  <si>
    <t>El indicador de desembolsos se mantendrá en satisfactorio, aun sin desembolsos adicionales. Indicadores SPI(a) y CPI(a) dependen de la finalización de obras planeadas para el 2026. (la operación ya finalizó las obras requeridas para el año y superará las metas físicas, pero como el simulador de la operación tiene errores, es difícil determinar exactamente el impacto de superar las metas).</t>
  </si>
  <si>
    <t>Asegurar la finalización de al menos 4 delegaciones policiales y 1 centro cívico en 2026.</t>
  </si>
  <si>
    <t>PROBLEMA</t>
  </si>
  <si>
    <t>El indicador de desembolsos se mantendrá en satisfactorio, aun sin desembolsos adicionales. Indicadores SPI(a), CPI y CPI(a) dependen en gran medida del avance en los procesos de regularización y podrían pasar a satisfactorio si se logra la meta de 60.000 procesos en 2026. Lo anterior es cierto siempre que el avance financiero de CCP Upala y Unidad de refugio sea al menos un 50% de lo planificado. A futuro, la operación se podría beneficiar de la eliminación de productos que no se van a ejecutar y se acordaron en el taller de arranque.</t>
  </si>
  <si>
    <t>Monitorear e impulsar la ejecución de los procesos de regularización para alcanzar la meta de 60.000 procesos completados en 2026. Seguimiento al avance de CCP Upala y Unidad de Refugio.</t>
  </si>
  <si>
    <t>Actualmente esperando ratificación. Considerando un proceso de firma de contrato inusual, se recomienda cambiar la clasificación a satisfactorio. El sistema seguirá clasificandolo como alerta automáticamente hasta que obtenga la ratificación.</t>
  </si>
  <si>
    <t>Monitorear proceso de ratificación</t>
  </si>
  <si>
    <t>CR-L1156</t>
  </si>
  <si>
    <t>No indica</t>
  </si>
  <si>
    <t>Actualmente esperando ratificación. La operación no muestra clasificación ni gráfica de conteo de días hasta efectividad.</t>
  </si>
  <si>
    <t xml:space="preserve">Recién se firmó, por lo que para el próximo ciclo estarían contabilizando el plazo para alcanzar la elegibilidad. </t>
  </si>
  <si>
    <t>Monitorear proceso de elegibilidad.</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</si>
  <si>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</si>
  <si>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</si>
  <si>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</si>
  <si>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</si>
  <si>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</si>
  <si>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</si>
  <si>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</si>
  <si>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</si>
  <si>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</si>
  <si>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</si>
  <si>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</si>
  <si>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</si>
  <si>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</si>
  <si>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</si>
  <si>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</si>
  <si>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</si>
  <si>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</si>
  <si>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</si>
  <si>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</si>
  <si>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</si>
  <si>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</si>
  <si>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</si>
  <si>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</si>
  <si>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</si>
  <si>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</si>
  <si>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</si>
  <si>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</si>
  <si>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</si>
  <si>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</si>
  <si>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</si>
  <si>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</si>
  <si>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</si>
  <si>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</si>
  <si>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</si>
  <si>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</si>
  <si>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</si>
  <si>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</si>
  <si>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</si>
  <si>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</si>
  <si>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</si>
  <si>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</si>
  <si>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</si>
  <si>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PIT</t>
  </si>
  <si>
    <t>Cantonal II</t>
  </si>
  <si>
    <t>PIV-APP</t>
  </si>
  <si>
    <t>San Carlos</t>
  </si>
  <si>
    <t>Seguridad Ciudadana</t>
  </si>
  <si>
    <t>Migración</t>
  </si>
  <si>
    <t>PIF</t>
  </si>
  <si>
    <t>Educación</t>
  </si>
  <si>
    <t>Energía II</t>
  </si>
  <si>
    <t>Cuidadados</t>
  </si>
  <si>
    <t>Calificación Calculada</t>
  </si>
  <si>
    <t>Calificación Validada</t>
  </si>
  <si>
    <t>Programa de Infraestructura de Transporte</t>
  </si>
  <si>
    <t>Programa Red Vial Cantonal II</t>
  </si>
  <si>
    <t>Programa de Infraestructura Vial y promoción de Asociaciones Público-Privadas (APP)</t>
  </si>
  <si>
    <t>Programa de Infraestructura Vial y Movilidad Urbana: conectividad resiliente</t>
  </si>
  <si>
    <t>Programa de Seguridad Ciudadana y Prevención de Violencia</t>
  </si>
  <si>
    <t>Programa Integral de Seguridad Ciudadana y Prevención de la Violencia para la Inclusión de Grupos Migrantes Vulnerables</t>
  </si>
  <si>
    <t>Programa de Integración Fronteriza de Costa Rica</t>
  </si>
  <si>
    <t>Mejora de la calidad del Sistema Educativo en Costa Rica</t>
  </si>
  <si>
    <t>Apoyo al fortalecimiento y expansión del sistema nacional de cuidados de Costa Rica</t>
  </si>
  <si>
    <t>Segundo Programa de Energía Renovable, Transmisión y Distribución de Electricidad</t>
  </si>
  <si>
    <t>Nombre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</si>
</sst>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409]dd\-mmm\-yyyy"/>
  </numFmts>
  <fonts count="23"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0"/>
      <color rgb="FFFFFFFF"/>
      <name val="Calibri"/>
      <family val="2"/>
    </font>
    <font>
      <sz val="9"/>
      <color rgb="FF000000"/>
      <name val="Calibri"/>
      <family val="2"/>
    </font>
    <font>
      <b/>
      <sz val="11"/>
      <color theme="1"/>
      <name val="Aptos Narrow"/>
      <family val="2"/>
      <scheme val="minor"/>
    </font>
    <font>
      <b/>
      <sz val="14"/>
      <color theme="1"/>
      <name val="Aptos Narrow"/>
      <family val="2"/>
      <scheme val="minor"/>
    </font>
    <font>
      <sz val="11"/>
      <color theme="1"/>
      <name val="Aptos Narrow"/>
      <family val="2"/>
      <scheme val="minor"/>
    </font>
    <font>
      <sz val="11"/>
      <color rgb="FFFF0000"/>
      <name val="Aptos Narrow"/>
      <family val="2"/>
      <scheme val="minor"/>
    </font>
    <font>
      <sz val="11"/>
      <color theme="1"/>
      <name val="Aptos"/>
      <family val="2"/>
    </font>
    <font>
      <sz val="11"/>
      <color rgb="FFFFC000"/>
      <name val="Aptos Display"/>
      <family val="2"/>
    </font>
    <font>
      <sz val="11"/>
      <color rgb="FF00B050"/>
      <name val="Aptos Display"/>
      <family val="2"/>
    </font>
    <font>
      <sz val="11"/>
      <color rgb="FFFF0000"/>
      <name val="Aptos Display"/>
      <family val="2"/>
    </font>
    <font>
      <sz val="11"/>
      <color theme="1"/>
      <name val="Aptos Display"/>
      <family val="2"/>
    </font>
    <font>
      <sz val="11"/>
      <name val="Aptos Narrow"/>
      <family val="2"/>
      <scheme val="minor"/>
    </font>
    <font>
      <sz val="11"/>
      <color rgb="FF00B050"/>
      <name val="Aptos Narrow"/>
      <family val="2"/>
      <scheme val="minor"/>
    </font>
    <font>
      <sz val="11"/>
      <color rgb="FFFFC000"/>
      <name val="Aptos Narrow"/>
      <family val="2"/>
      <scheme val="minor"/>
    </font>
    <font>
      <b/>
      <sz val="11"/>
      <color theme="1"/>
      <name val="Aptos"/>
      <family val="2"/>
    </font>
    <font>
      <b/>
      <sz val="16"/>
      <color theme="1"/>
      <name val="Aptos Narrow"/>
      <family val="2"/>
      <scheme val="minor"/>
    </font>
    <font>
      <b/>
      <sz val="11"/>
      <name val="Arial"/>
    </font>
    <font>
      <b/>
      <sz val="10"/>
      <name val="Arial"/>
    </font>
    <font>
      <sz val="10"/>
      <name val="Arial"/>
    </font>
    <font>
      <u/>
      <sz val="10"/>
      <name val="Arial"/>
    </font>
  </fonts>
  <fills count="8">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theme="5" tint="0.79998168889431442"/>
        <bgColor indexed="64"/>
      </patternFill>
    </fill>
    <fill>
      <patternFill patternType="solid">
        <fgColor rgb="FF307899"/>
        <bgColor rgb="FF307899"/>
      </patternFill>
    </fill>
    <fill>
      <patternFill patternType="solid">
        <fgColor theme="0"/>
        <bgColor indexed="64"/>
      </patternFill>
    </fill>
    <fill>
      <patternFill patternType="solid">
        <fgColor rgb="FF92D050"/>
        <bgColor indexed="64"/>
      </patternFill>
    </fill>
  </fills>
  <borders count="21">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rgb="FFD3D3D3"/>
      </left>
      <right style="thin">
        <color rgb="FFD3D3D3"/>
      </right>
      <top style="thin">
        <color rgb="FFD3D3D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1F2D45"/>
      </left>
      <right style="thin">
        <color rgb="FF1F2D45"/>
      </right>
      <top style="thin">
        <color rgb="FF1F2D45"/>
      </top>
      <bottom style="thin">
        <color rgb="FF1F2D45"/>
      </bottom>
      <diagonal/>
    </border>
    <border>
      <left/>
      <right style="thin">
        <color indexed="64"/>
      </right>
      <top style="thin">
        <color indexed="64"/>
      </top>
      <bottom style="thin">
        <color indexed="64"/>
      </bottom>
      <diagonal/>
    </border>
  </borders>
  <cellStyleXfs count="3">
    <xf numFmtId="0" fontId="0" fillId="0" borderId="0"/>
    <xf numFmtId="9" fontId="7" fillId="0" borderId="0"/>
    <xf numFmtId="0" fontId="1" fillId="0" borderId="0"/>
  </cellStyleXfs>
  <cellXfs count="86">
    <xf numFmtId="0" fontId="0" fillId="0" borderId="0" xfId="0"/>
    <xf numFmtId="0" fontId="0" fillId="0" borderId="0" xfId="0" applyAlignment="1">
      <alignment horizontal="center"/>
    </xf>
    <xf numFmtId="0" fontId="0" fillId="0" borderId="0" xfId="0" applyAlignment="1">
      <alignment horizontal="left" vertic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3" fillId="5" borderId="4" xfId="0" applyFont="1" applyFill="1" applyBorder="1" applyAlignment="1">
      <alignment horizontal="center" vertical="top" wrapText="1" readingOrder="1"/>
    </xf>
    <xf numFmtId="0" fontId="3" fillId="5" borderId="4" xfId="0" applyFont="1" applyFill="1" applyBorder="1" applyAlignment="1">
      <alignment vertical="top" wrapText="1" readingOrder="1"/>
    </xf>
    <xf numFmtId="0" fontId="4" fillId="0" borderId="3" xfId="0" applyFont="1" applyBorder="1" applyAlignment="1">
      <alignment horizontal="center" vertical="top" wrapText="1" readingOrder="1"/>
    </xf>
    <xf numFmtId="0" fontId="4" fillId="0" borderId="3" xfId="0" applyFont="1" applyBorder="1" applyAlignment="1">
      <alignment vertical="top" wrapText="1" readingOrder="1"/>
    </xf>
    <xf numFmtId="164" fontId="4" fillId="0" borderId="3" xfId="0" applyNumberFormat="1" applyFont="1" applyBorder="1" applyAlignment="1">
      <alignment horizontal="center" vertical="top" wrapText="1" readingOrder="1"/>
    </xf>
    <xf numFmtId="0" fontId="0" fillId="4" borderId="2" xfId="0" applyFill="1" applyBorder="1" applyAlignment="1">
      <alignment horizontal="center"/>
    </xf>
    <xf numFmtId="0" fontId="0" fillId="6" borderId="2" xfId="0" applyFill="1" applyBorder="1" applyAlignment="1">
      <alignment horizontal="center"/>
    </xf>
    <xf numFmtId="14" fontId="0" fillId="0" borderId="0" xfId="0" applyNumberFormat="1" applyAlignment="1">
      <alignment horizontal="left"/>
    </xf>
    <xf numFmtId="0" fontId="6" fillId="0" borderId="16" xfId="0" applyFont="1" applyBorder="1" applyAlignment="1">
      <alignment horizontal="left" vertical="center"/>
    </xf>
    <xf numFmtId="0" fontId="6" fillId="0" borderId="17" xfId="0" applyFont="1" applyBorder="1" applyAlignment="1">
      <alignment horizontal="left" vertical="center"/>
    </xf>
    <xf numFmtId="0" fontId="6" fillId="0" borderId="18" xfId="0" applyFont="1" applyBorder="1" applyAlignment="1">
      <alignment horizontal="left" vertical="center"/>
    </xf>
    <xf numFmtId="0" fontId="0" fillId="0" borderId="5" xfId="0" applyBorder="1" applyAlignment="1">
      <alignment horizontal="left" vertical="center"/>
    </xf>
    <xf numFmtId="0" fontId="0" fillId="0" borderId="6" xfId="0" applyBorder="1" applyAlignment="1">
      <alignment horizontal="left" vertical="center" wrapText="1"/>
    </xf>
    <xf numFmtId="0" fontId="0" fillId="7" borderId="6" xfId="0" applyFill="1"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wrapText="1"/>
    </xf>
    <xf numFmtId="0" fontId="0" fillId="0" borderId="8" xfId="0" applyBorder="1" applyAlignment="1">
      <alignment horizontal="left" vertical="center"/>
    </xf>
    <xf numFmtId="0" fontId="0" fillId="0" borderId="0" xfId="0" applyAlignment="1">
      <alignment horizontal="left" vertical="center" wrapText="1"/>
    </xf>
    <xf numFmtId="0" fontId="0" fillId="7" borderId="0" xfId="0" applyFill="1" applyAlignment="1">
      <alignment horizontal="left" vertical="center"/>
    </xf>
    <xf numFmtId="0" fontId="0" fillId="0" borderId="9" xfId="0" applyBorder="1" applyAlignment="1">
      <alignment horizontal="left" vertical="center" wrapText="1"/>
    </xf>
    <xf numFmtId="0" fontId="0" fillId="3" borderId="0" xfId="0" applyFill="1" applyAlignment="1">
      <alignment horizontal="left" vertical="center"/>
    </xf>
    <xf numFmtId="0" fontId="0" fillId="0" borderId="14" xfId="0" applyBorder="1" applyAlignment="1">
      <alignment horizontal="left" vertical="center"/>
    </xf>
    <xf numFmtId="0" fontId="0" fillId="0" borderId="13" xfId="0" applyBorder="1" applyAlignment="1">
      <alignment horizontal="left" vertical="center" wrapText="1"/>
    </xf>
    <xf numFmtId="0" fontId="0" fillId="7" borderId="13" xfId="0" applyFill="1" applyBorder="1" applyAlignment="1">
      <alignment horizontal="left" vertical="center"/>
    </xf>
    <xf numFmtId="0" fontId="0" fillId="0" borderId="13" xfId="0" applyBorder="1" applyAlignment="1">
      <alignment horizontal="left" vertical="center"/>
    </xf>
    <xf numFmtId="0" fontId="0" fillId="0" borderId="15" xfId="0" applyBorder="1" applyAlignment="1">
      <alignment horizontal="left" vertical="center" wrapText="1"/>
    </xf>
    <xf numFmtId="0" fontId="0" fillId="0" borderId="10" xfId="0" applyBorder="1" applyAlignment="1">
      <alignment horizontal="left" vertical="center"/>
    </xf>
    <xf numFmtId="0" fontId="0" fillId="0" borderId="11" xfId="0" applyBorder="1" applyAlignment="1">
      <alignment horizontal="left" vertical="center" wrapText="1"/>
    </xf>
    <xf numFmtId="0" fontId="0" fillId="7" borderId="11" xfId="0" applyFill="1"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wrapText="1"/>
    </xf>
    <xf numFmtId="0" fontId="0" fillId="3" borderId="6" xfId="0" applyFill="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wrapText="1"/>
    </xf>
    <xf numFmtId="0" fontId="0" fillId="7" borderId="17" xfId="0" applyFill="1" applyBorder="1" applyAlignment="1">
      <alignment horizontal="left" vertical="center"/>
    </xf>
    <xf numFmtId="0" fontId="0" fillId="0" borderId="17" xfId="0" applyBorder="1" applyAlignment="1">
      <alignment horizontal="left" vertical="center"/>
    </xf>
    <xf numFmtId="0" fontId="0" fillId="0" borderId="18" xfId="0" applyBorder="1" applyAlignment="1">
      <alignment horizontal="left" vertical="center" wrapText="1"/>
    </xf>
    <xf numFmtId="0" fontId="0" fillId="0" borderId="7" xfId="0" applyBorder="1" applyAlignment="1">
      <alignment horizontal="left" vertical="center"/>
    </xf>
    <xf numFmtId="0" fontId="5" fillId="0" borderId="0" xfId="0" applyFont="1" applyAlignment="1">
      <alignment horizontal="left" vertical="center"/>
    </xf>
    <xf numFmtId="0" fontId="0" fillId="0" borderId="9" xfId="0" applyBorder="1" applyAlignment="1">
      <alignment horizontal="left" vertical="center"/>
    </xf>
    <xf numFmtId="0" fontId="9" fillId="0" borderId="3" xfId="0" applyFont="1" applyBorder="1" applyAlignment="1">
      <alignment vertical="center" wrapText="1"/>
    </xf>
    <xf numFmtId="0" fontId="10" fillId="0" borderId="3" xfId="0" applyFont="1" applyBorder="1" applyAlignment="1">
      <alignment vertical="center" wrapText="1"/>
    </xf>
    <xf numFmtId="0" fontId="9" fillId="0" borderId="3" xfId="0" applyFont="1" applyBorder="1" applyAlignment="1">
      <alignment horizontal="center" vertical="center" wrapText="1"/>
    </xf>
    <xf numFmtId="0" fontId="11" fillId="0" borderId="3" xfId="0" applyFont="1" applyBorder="1" applyAlignment="1">
      <alignment vertical="center" wrapText="1"/>
    </xf>
    <xf numFmtId="0" fontId="14" fillId="0" borderId="3" xfId="0" applyFont="1" applyBorder="1" applyAlignment="1">
      <alignment horizontal="center" vertical="center"/>
    </xf>
    <xf numFmtId="9" fontId="8" fillId="0" borderId="3" xfId="1" applyFont="1" applyBorder="1" applyAlignment="1">
      <alignment horizontal="center" vertical="center"/>
    </xf>
    <xf numFmtId="2" fontId="14" fillId="0" borderId="3" xfId="0" applyNumberFormat="1" applyFont="1" applyBorder="1" applyAlignment="1">
      <alignment horizontal="center" vertical="center"/>
    </xf>
    <xf numFmtId="2"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xf>
    <xf numFmtId="9" fontId="15" fillId="0" borderId="3" xfId="1" applyFont="1" applyBorder="1" applyAlignment="1">
      <alignment horizontal="center" vertical="center"/>
    </xf>
    <xf numFmtId="2" fontId="16" fillId="0" borderId="3" xfId="0" applyNumberFormat="1" applyFont="1" applyBorder="1" applyAlignment="1">
      <alignment horizontal="center" vertical="center"/>
    </xf>
    <xf numFmtId="9" fontId="16" fillId="0" borderId="3" xfId="1" applyFont="1" applyBorder="1" applyAlignment="1">
      <alignment horizontal="center" vertical="center"/>
    </xf>
    <xf numFmtId="2" fontId="8" fillId="0" borderId="3" xfId="0" applyNumberFormat="1" applyFont="1" applyBorder="1" applyAlignment="1">
      <alignment horizontal="center" vertical="center"/>
    </xf>
    <xf numFmtId="0" fontId="12" fillId="0" borderId="3" xfId="0" applyFont="1" applyBorder="1" applyAlignment="1">
      <alignment vertical="center" wrapText="1"/>
    </xf>
    <xf numFmtId="9" fontId="11" fillId="0" borderId="3" xfId="0" applyNumberFormat="1" applyFont="1" applyBorder="1" applyAlignment="1">
      <alignment horizontal="center" vertical="center" wrapText="1"/>
    </xf>
    <xf numFmtId="0" fontId="9" fillId="0" borderId="3" xfId="0" applyFont="1" applyBorder="1" applyAlignment="1">
      <alignment horizontal="justify" vertical="center" wrapText="1"/>
    </xf>
    <xf numFmtId="0" fontId="13" fillId="0" borderId="3" xfId="0" applyFont="1" applyBorder="1" applyAlignment="1">
      <alignment vertical="center" wrapText="1"/>
    </xf>
    <xf numFmtId="14" fontId="0" fillId="0" borderId="0" xfId="0" applyNumberFormat="1"/>
    <xf numFmtId="0" fontId="17" fillId="0" borderId="3" xfId="0" applyFont="1" applyBorder="1" applyAlignment="1">
      <alignment vertical="center" wrapText="1"/>
    </xf>
    <xf numFmtId="0" fontId="17" fillId="0" borderId="3" xfId="0" applyFont="1" applyBorder="1" applyAlignment="1">
      <alignment horizontal="center" vertical="center" wrapText="1"/>
    </xf>
    <xf numFmtId="0" fontId="18" fillId="0" borderId="0" xfId="0" applyFont="1"/>
    <xf numFmtId="0" fontId="14" fillId="0" borderId="0" xfId="0" applyFont="1"/>
    <xf numFmtId="0" fontId="20" fillId="0" borderId="19" xfId="0" applyFont="1" applyBorder="1" applyAlignment="1">
      <alignment horizontal="center" vertical="center"/>
    </xf>
    <xf numFmtId="0" fontId="21" fillId="0" borderId="19" xfId="0" applyFont="1" applyBorder="1" applyAlignment="1">
      <alignment horizontal="left" vertical="center"/>
    </xf>
    <xf numFmtId="0" fontId="22" fillId="0" borderId="19" xfId="0" applyFont="1" applyBorder="1" applyAlignment="1">
      <alignment horizontal="left" vertical="center"/>
    </xf>
    <xf numFmtId="0" fontId="19" fillId="0" borderId="0" xfId="0" applyFont="1" applyAlignment="1">
      <alignment horizontal="left" vertical="center"/>
    </xf>
    <xf numFmtId="0" fontId="14" fillId="0" borderId="0" xfId="0" applyFont="1"/>
    <xf numFmtId="0" fontId="0" fillId="0" borderId="6" xfId="0" applyBorder="1" applyAlignment="1">
      <alignment horizontal="left" vertical="center" wrapText="1"/>
    </xf>
    <xf numFmtId="0" fontId="0" fillId="0" borderId="0" xfId="0" applyAlignment="1">
      <alignment horizontal="left" vertical="center"/>
    </xf>
    <xf numFmtId="0" fontId="10" fillId="0" borderId="20" xfId="0" applyFont="1" applyBorder="1" applyAlignment="1">
      <alignment vertical="center" wrapText="1"/>
    </xf>
    <xf numFmtId="0" fontId="11" fillId="0" borderId="20" xfId="0" applyFont="1" applyBorder="1" applyAlignment="1">
      <alignment vertical="center" wrapText="1"/>
    </xf>
    <xf numFmtId="0" fontId="12" fillId="0" borderId="20" xfId="0" applyFont="1" applyBorder="1" applyAlignment="1">
      <alignment vertical="center" wrapText="1"/>
    </xf>
    <xf numFmtId="0" fontId="13" fillId="0" borderId="20" xfId="0" applyFont="1" applyBorder="1" applyAlignment="1">
      <alignment vertical="center" wrapText="1"/>
    </xf>
    <xf numFmtId="0" fontId="17" fillId="0" borderId="20" xfId="0" applyFont="1" applyBorder="1" applyAlignment="1">
      <alignment vertical="center" wrapText="1"/>
    </xf>
    <xf numFmtId="0" fontId="9" fillId="6" borderId="0" xfId="0" applyFont="1" applyFill="1" applyBorder="1" applyAlignment="1">
      <alignment vertical="center" wrapText="1"/>
    </xf>
    <xf numFmtId="0" fontId="0" fillId="6" borderId="0" xfId="0" applyFill="1" applyBorder="1"/>
    <xf numFmtId="0" fontId="9" fillId="6" borderId="0" xfId="0" applyFont="1" applyFill="1" applyBorder="1" applyAlignment="1">
      <alignment horizontal="center" vertical="center" wrapText="1"/>
    </xf>
    <xf numFmtId="0" fontId="17" fillId="6" borderId="0" xfId="0" applyFont="1" applyFill="1" applyBorder="1" applyAlignment="1">
      <alignment vertical="center" wrapText="1"/>
    </xf>
    <xf numFmtId="0" fontId="17" fillId="6" borderId="0" xfId="0" applyFont="1" applyFill="1" applyBorder="1" applyAlignment="1">
      <alignment horizontal="center" vertical="center" wrapText="1"/>
    </xf>
  </cellXfs>
  <cellStyles count="3">
    <cellStyle name="Hyperlink 2" xfId="2" xr:uid="{00000000-0005-0000-0000-000002000000}"/>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3</xdr:col>
      <xdr:colOff>238126</xdr:colOff>
      <xdr:row>5</xdr:row>
      <xdr:rowOff>66675</xdr:rowOff>
    </xdr:from>
    <xdr:to>
      <xdr:col>3</xdr:col>
      <xdr:colOff>523875</xdr:colOff>
      <xdr:row>5</xdr:row>
      <xdr:rowOff>352424</xdr:rowOff>
    </xdr:to>
    <xdr:pic>
      <xdr:nvPicPr>
        <xdr:cNvPr id="3" name="Picture 2" descr="Vectores de Check simbolo - Descarga vectores gratis de gran calidad |  Magnific (anteriormente Freepik)">
          <a:extLst>
            <a:ext uri="{FF2B5EF4-FFF2-40B4-BE49-F238E27FC236}">
              <a16:creationId xmlns:a16="http://schemas.microsoft.com/office/drawing/2014/main" id="{3BDE3B20-EA21-9AB8-F55C-05411F644CB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457826" y="1666875"/>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247651</xdr:colOff>
      <xdr:row>6</xdr:row>
      <xdr:rowOff>66675</xdr:rowOff>
    </xdr:from>
    <xdr:to>
      <xdr:col>3</xdr:col>
      <xdr:colOff>533400</xdr:colOff>
      <xdr:row>6</xdr:row>
      <xdr:rowOff>352424</xdr:rowOff>
    </xdr:to>
    <xdr:pic>
      <xdr:nvPicPr>
        <xdr:cNvPr id="4" name="Picture 3" descr="Vectores de Check simbolo - Descarga vectores gratis de gran calidad |  Magnific (anteriormente Freepik)">
          <a:extLst>
            <a:ext uri="{FF2B5EF4-FFF2-40B4-BE49-F238E27FC236}">
              <a16:creationId xmlns:a16="http://schemas.microsoft.com/office/drawing/2014/main" id="{D121C759-0EDD-4185-BD18-37C72E9D0E4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467351" y="2076450"/>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238126</xdr:colOff>
      <xdr:row>7</xdr:row>
      <xdr:rowOff>85725</xdr:rowOff>
    </xdr:from>
    <xdr:to>
      <xdr:col>3</xdr:col>
      <xdr:colOff>523875</xdr:colOff>
      <xdr:row>7</xdr:row>
      <xdr:rowOff>371474</xdr:rowOff>
    </xdr:to>
    <xdr:pic>
      <xdr:nvPicPr>
        <xdr:cNvPr id="5" name="Picture 4" descr="Vectores de Check simbolo - Descarga vectores gratis de gran calidad |  Magnific (anteriormente Freepik)">
          <a:extLst>
            <a:ext uri="{FF2B5EF4-FFF2-40B4-BE49-F238E27FC236}">
              <a16:creationId xmlns:a16="http://schemas.microsoft.com/office/drawing/2014/main" id="{04042037-687C-4D3E-9C43-523F0297A3A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457826" y="2505075"/>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247651</xdr:colOff>
      <xdr:row>10</xdr:row>
      <xdr:rowOff>85725</xdr:rowOff>
    </xdr:from>
    <xdr:to>
      <xdr:col>3</xdr:col>
      <xdr:colOff>533400</xdr:colOff>
      <xdr:row>10</xdr:row>
      <xdr:rowOff>371474</xdr:rowOff>
    </xdr:to>
    <xdr:pic>
      <xdr:nvPicPr>
        <xdr:cNvPr id="6" name="Picture 5" descr="Vectores de Check simbolo - Descarga vectores gratis de gran calidad |  Magnific (anteriormente Freepik)">
          <a:extLst>
            <a:ext uri="{FF2B5EF4-FFF2-40B4-BE49-F238E27FC236}">
              <a16:creationId xmlns:a16="http://schemas.microsoft.com/office/drawing/2014/main" id="{B7CD287E-425A-45B7-B99A-6A9EB4ECB1A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467351" y="3733800"/>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266701</xdr:colOff>
      <xdr:row>13</xdr:row>
      <xdr:rowOff>57150</xdr:rowOff>
    </xdr:from>
    <xdr:to>
      <xdr:col>3</xdr:col>
      <xdr:colOff>552450</xdr:colOff>
      <xdr:row>13</xdr:row>
      <xdr:rowOff>342899</xdr:rowOff>
    </xdr:to>
    <xdr:pic>
      <xdr:nvPicPr>
        <xdr:cNvPr id="7" name="Picture 6" descr="Vectores de Check simbolo - Descarga vectores gratis de gran calidad |  Magnific (anteriormente Freepik)">
          <a:extLst>
            <a:ext uri="{FF2B5EF4-FFF2-40B4-BE49-F238E27FC236}">
              <a16:creationId xmlns:a16="http://schemas.microsoft.com/office/drawing/2014/main" id="{15FD5BB2-0FAD-475C-AA24-EFD5C2C32A7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486401" y="4933950"/>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257176</xdr:colOff>
      <xdr:row>5</xdr:row>
      <xdr:rowOff>66675</xdr:rowOff>
    </xdr:from>
    <xdr:to>
      <xdr:col>4</xdr:col>
      <xdr:colOff>542925</xdr:colOff>
      <xdr:row>5</xdr:row>
      <xdr:rowOff>352424</xdr:rowOff>
    </xdr:to>
    <xdr:pic>
      <xdr:nvPicPr>
        <xdr:cNvPr id="8" name="Picture 7" descr="Vectores de Check simbolo - Descarga vectores gratis de gran calidad |  Magnific (anteriormente Freepik)">
          <a:extLst>
            <a:ext uri="{FF2B5EF4-FFF2-40B4-BE49-F238E27FC236}">
              <a16:creationId xmlns:a16="http://schemas.microsoft.com/office/drawing/2014/main" id="{D0D88F88-63E1-468B-9E70-46EC3321C7F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391276" y="1666875"/>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266701</xdr:colOff>
      <xdr:row>6</xdr:row>
      <xdr:rowOff>66675</xdr:rowOff>
    </xdr:from>
    <xdr:to>
      <xdr:col>4</xdr:col>
      <xdr:colOff>552450</xdr:colOff>
      <xdr:row>6</xdr:row>
      <xdr:rowOff>352424</xdr:rowOff>
    </xdr:to>
    <xdr:pic>
      <xdr:nvPicPr>
        <xdr:cNvPr id="9" name="Picture 8" descr="Vectores de Check simbolo - Descarga vectores gratis de gran calidad |  Magnific (anteriormente Freepik)">
          <a:extLst>
            <a:ext uri="{FF2B5EF4-FFF2-40B4-BE49-F238E27FC236}">
              <a16:creationId xmlns:a16="http://schemas.microsoft.com/office/drawing/2014/main" id="{21DE0839-175A-453A-B953-0ABB1971F3F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400801" y="2076450"/>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266701</xdr:colOff>
      <xdr:row>7</xdr:row>
      <xdr:rowOff>85725</xdr:rowOff>
    </xdr:from>
    <xdr:to>
      <xdr:col>4</xdr:col>
      <xdr:colOff>552450</xdr:colOff>
      <xdr:row>7</xdr:row>
      <xdr:rowOff>371474</xdr:rowOff>
    </xdr:to>
    <xdr:pic>
      <xdr:nvPicPr>
        <xdr:cNvPr id="10" name="Picture 9" descr="Vectores de Check simbolo - Descarga vectores gratis de gran calidad |  Magnific (anteriormente Freepik)">
          <a:extLst>
            <a:ext uri="{FF2B5EF4-FFF2-40B4-BE49-F238E27FC236}">
              <a16:creationId xmlns:a16="http://schemas.microsoft.com/office/drawing/2014/main" id="{1859F5F9-4170-4B43-85B5-EFCF5BCA95D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400801" y="2505075"/>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285751</xdr:colOff>
      <xdr:row>10</xdr:row>
      <xdr:rowOff>85725</xdr:rowOff>
    </xdr:from>
    <xdr:to>
      <xdr:col>4</xdr:col>
      <xdr:colOff>571500</xdr:colOff>
      <xdr:row>10</xdr:row>
      <xdr:rowOff>371474</xdr:rowOff>
    </xdr:to>
    <xdr:pic>
      <xdr:nvPicPr>
        <xdr:cNvPr id="11" name="Picture 10" descr="Vectores de Check simbolo - Descarga vectores gratis de gran calidad |  Magnific (anteriormente Freepik)">
          <a:extLst>
            <a:ext uri="{FF2B5EF4-FFF2-40B4-BE49-F238E27FC236}">
              <a16:creationId xmlns:a16="http://schemas.microsoft.com/office/drawing/2014/main" id="{259764F2-29CE-4BD4-837B-1161848D80E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343651" y="3733800"/>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285751</xdr:colOff>
      <xdr:row>13</xdr:row>
      <xdr:rowOff>57150</xdr:rowOff>
    </xdr:from>
    <xdr:to>
      <xdr:col>4</xdr:col>
      <xdr:colOff>571500</xdr:colOff>
      <xdr:row>13</xdr:row>
      <xdr:rowOff>342899</xdr:rowOff>
    </xdr:to>
    <xdr:pic>
      <xdr:nvPicPr>
        <xdr:cNvPr id="12" name="Picture 11" descr="Vectores de Check simbolo - Descarga vectores gratis de gran calidad |  Magnific (anteriormente Freepik)">
          <a:extLst>
            <a:ext uri="{FF2B5EF4-FFF2-40B4-BE49-F238E27FC236}">
              <a16:creationId xmlns:a16="http://schemas.microsoft.com/office/drawing/2014/main" id="{EFAC2782-094F-4AF9-A00D-40A6D361306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343651" y="4933950"/>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295276</xdr:colOff>
      <xdr:row>11</xdr:row>
      <xdr:rowOff>85725</xdr:rowOff>
    </xdr:from>
    <xdr:to>
      <xdr:col>4</xdr:col>
      <xdr:colOff>581025</xdr:colOff>
      <xdr:row>11</xdr:row>
      <xdr:rowOff>371474</xdr:rowOff>
    </xdr:to>
    <xdr:pic>
      <xdr:nvPicPr>
        <xdr:cNvPr id="13" name="Picture 12" descr="Vectores de Check simbolo - Descarga vectores gratis de gran calidad |  Magnific (anteriormente Freepik)">
          <a:extLst>
            <a:ext uri="{FF2B5EF4-FFF2-40B4-BE49-F238E27FC236}">
              <a16:creationId xmlns:a16="http://schemas.microsoft.com/office/drawing/2014/main" id="{F970476D-7B4E-4B5A-996C-752B8238806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353176" y="4143375"/>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276226</xdr:colOff>
      <xdr:row>8</xdr:row>
      <xdr:rowOff>76200</xdr:rowOff>
    </xdr:from>
    <xdr:to>
      <xdr:col>4</xdr:col>
      <xdr:colOff>561975</xdr:colOff>
      <xdr:row>8</xdr:row>
      <xdr:rowOff>361949</xdr:rowOff>
    </xdr:to>
    <xdr:pic>
      <xdr:nvPicPr>
        <xdr:cNvPr id="14" name="Picture 13" descr="Vectores de Check simbolo - Descarga vectores gratis de gran calidad |  Magnific (anteriormente Freepik)">
          <a:extLst>
            <a:ext uri="{FF2B5EF4-FFF2-40B4-BE49-F238E27FC236}">
              <a16:creationId xmlns:a16="http://schemas.microsoft.com/office/drawing/2014/main" id="{B20167A7-22D5-4604-A64F-CFF27AD439E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410326" y="2905125"/>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200025</xdr:colOff>
      <xdr:row>4</xdr:row>
      <xdr:rowOff>38100</xdr:rowOff>
    </xdr:from>
    <xdr:to>
      <xdr:col>3</xdr:col>
      <xdr:colOff>552450</xdr:colOff>
      <xdr:row>4</xdr:row>
      <xdr:rowOff>390525</xdr:rowOff>
    </xdr:to>
    <xdr:pic>
      <xdr:nvPicPr>
        <xdr:cNvPr id="15" name="Picture 14" descr="alerta símbolo amarillo aislado 51097691 Vector en Vecteezy">
          <a:extLst>
            <a:ext uri="{FF2B5EF4-FFF2-40B4-BE49-F238E27FC236}">
              <a16:creationId xmlns:a16="http://schemas.microsoft.com/office/drawing/2014/main" id="{D7979CA7-948F-D2DF-BA29-1D46E5FC547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5419725" y="1228725"/>
          <a:ext cx="352425" cy="352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219075</xdr:colOff>
      <xdr:row>4</xdr:row>
      <xdr:rowOff>38100</xdr:rowOff>
    </xdr:from>
    <xdr:to>
      <xdr:col>4</xdr:col>
      <xdr:colOff>571500</xdr:colOff>
      <xdr:row>4</xdr:row>
      <xdr:rowOff>390525</xdr:rowOff>
    </xdr:to>
    <xdr:pic>
      <xdr:nvPicPr>
        <xdr:cNvPr id="16" name="Picture 15" descr="alerta símbolo amarillo aislado 51097691 Vector en Vecteezy">
          <a:extLst>
            <a:ext uri="{FF2B5EF4-FFF2-40B4-BE49-F238E27FC236}">
              <a16:creationId xmlns:a16="http://schemas.microsoft.com/office/drawing/2014/main" id="{77CF8497-E463-4A81-89AA-56442FB727C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276975" y="1228725"/>
          <a:ext cx="352425" cy="352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219075</xdr:colOff>
      <xdr:row>8</xdr:row>
      <xdr:rowOff>38100</xdr:rowOff>
    </xdr:from>
    <xdr:to>
      <xdr:col>3</xdr:col>
      <xdr:colOff>571500</xdr:colOff>
      <xdr:row>8</xdr:row>
      <xdr:rowOff>390525</xdr:rowOff>
    </xdr:to>
    <xdr:pic>
      <xdr:nvPicPr>
        <xdr:cNvPr id="17" name="Picture 16" descr="alerta símbolo amarillo aislado 51097691 Vector en Vecteezy">
          <a:extLst>
            <a:ext uri="{FF2B5EF4-FFF2-40B4-BE49-F238E27FC236}">
              <a16:creationId xmlns:a16="http://schemas.microsoft.com/office/drawing/2014/main" id="{19A7B2CE-B10C-4827-B3E5-53F445AB64FE}"/>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5438775" y="2867025"/>
          <a:ext cx="352425" cy="352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228600</xdr:colOff>
      <xdr:row>11</xdr:row>
      <xdr:rowOff>19050</xdr:rowOff>
    </xdr:from>
    <xdr:to>
      <xdr:col>3</xdr:col>
      <xdr:colOff>581025</xdr:colOff>
      <xdr:row>11</xdr:row>
      <xdr:rowOff>371475</xdr:rowOff>
    </xdr:to>
    <xdr:pic>
      <xdr:nvPicPr>
        <xdr:cNvPr id="18" name="Picture 17" descr="alerta símbolo amarillo aislado 51097691 Vector en Vecteezy">
          <a:extLst>
            <a:ext uri="{FF2B5EF4-FFF2-40B4-BE49-F238E27FC236}">
              <a16:creationId xmlns:a16="http://schemas.microsoft.com/office/drawing/2014/main" id="{2D606D54-C877-4E49-9020-90332B02FE9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5448300" y="4076700"/>
          <a:ext cx="352425" cy="352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200026</xdr:colOff>
      <xdr:row>9</xdr:row>
      <xdr:rowOff>19050</xdr:rowOff>
    </xdr:from>
    <xdr:to>
      <xdr:col>3</xdr:col>
      <xdr:colOff>581026</xdr:colOff>
      <xdr:row>9</xdr:row>
      <xdr:rowOff>400050</xdr:rowOff>
    </xdr:to>
    <xdr:pic>
      <xdr:nvPicPr>
        <xdr:cNvPr id="19" name="Picture 18" descr="Símbolo De Alerta En Círculo PNG ,dibujos Exclamación, Importante, Circulo  PNG Imagen para Descarga Gratuita | Pngtree">
          <a:extLst>
            <a:ext uri="{FF2B5EF4-FFF2-40B4-BE49-F238E27FC236}">
              <a16:creationId xmlns:a16="http://schemas.microsoft.com/office/drawing/2014/main" id="{BD930064-6F94-A2D7-1216-8CC0A0995D2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419726" y="3257550"/>
          <a:ext cx="381000" cy="381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219076</xdr:colOff>
      <xdr:row>9</xdr:row>
      <xdr:rowOff>28575</xdr:rowOff>
    </xdr:from>
    <xdr:to>
      <xdr:col>4</xdr:col>
      <xdr:colOff>600076</xdr:colOff>
      <xdr:row>10</xdr:row>
      <xdr:rowOff>0</xdr:rowOff>
    </xdr:to>
    <xdr:pic>
      <xdr:nvPicPr>
        <xdr:cNvPr id="27" name="Picture 26" descr="Símbolo De Alerta En Círculo PNG ,dibujos Exclamación, Importante, Circulo  PNG Imagen para Descarga Gratuita | Pngtree">
          <a:extLst>
            <a:ext uri="{FF2B5EF4-FFF2-40B4-BE49-F238E27FC236}">
              <a16:creationId xmlns:a16="http://schemas.microsoft.com/office/drawing/2014/main" id="{8F543178-F768-4054-BC83-CD8FD5F644F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353176" y="3267075"/>
          <a:ext cx="381000" cy="381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showGridLines="0" workbookViewId="0">
      <pane ySplit="3" topLeftCell="A4" activePane="bottomLeft" state="frozen"/>
      <selection pane="bottomLeft" activeCell="C10" sqref="C10"/>
    </sheetView>
  </sheetViews>
  <sheetFormatPr defaultColWidth="8.85546875" defaultRowHeight="15" x14ac:dyDescent="0.25"/>
  <cols>
    <col min="1" max="1" width="14" style="68" customWidth="1"/>
    <col min="2" max="2" width="38" style="68" customWidth="1"/>
    <col min="3" max="3" width="42" style="68" customWidth="1"/>
    <col min="4" max="4" width="80" style="68" customWidth="1"/>
    <col min="5" max="16384" width="8.85546875" style="68"/>
  </cols>
  <sheetData>
    <row r="1" spans="1:4" ht="28.15" customHeight="1" x14ac:dyDescent="0.25">
      <c r="A1" s="72" t="s">
        <v>0</v>
      </c>
      <c r="B1" s="73"/>
      <c r="C1" s="73"/>
      <c r="D1" s="73"/>
    </row>
    <row r="2" spans="1:4" ht="6" customHeight="1" x14ac:dyDescent="0.25"/>
    <row r="3" spans="1:4" ht="22.15" customHeight="1" x14ac:dyDescent="0.25">
      <c r="A3" s="69" t="s">
        <v>1</v>
      </c>
      <c r="B3" s="69" t="s">
        <v>2</v>
      </c>
      <c r="C3" s="69" t="s">
        <v>3</v>
      </c>
      <c r="D3" s="69" t="s">
        <v>4</v>
      </c>
    </row>
    <row r="4" spans="1:4" ht="18" customHeight="1" x14ac:dyDescent="0.25">
      <c r="A4" s="69" t="s">
        <v>5</v>
      </c>
      <c r="B4" s="70" t="s">
        <v>6</v>
      </c>
      <c r="C4" s="70" t="s">
        <v>7</v>
      </c>
      <c r="D4" s="71" t="s">
        <v>8</v>
      </c>
    </row>
    <row r="5" spans="1:4" ht="18" customHeight="1" x14ac:dyDescent="0.25">
      <c r="A5" s="69" t="s">
        <v>5</v>
      </c>
      <c r="B5" s="70" t="s">
        <v>6</v>
      </c>
      <c r="C5" s="70" t="s">
        <v>9</v>
      </c>
      <c r="D5" s="71" t="s">
        <v>10</v>
      </c>
    </row>
    <row r="6" spans="1:4" ht="18" customHeight="1" x14ac:dyDescent="0.25">
      <c r="A6" s="69" t="s">
        <v>11</v>
      </c>
      <c r="B6" s="70" t="s">
        <v>6</v>
      </c>
      <c r="C6" s="70" t="s">
        <v>12</v>
      </c>
      <c r="D6" s="71" t="s">
        <v>13</v>
      </c>
    </row>
    <row r="7" spans="1:4" ht="18" customHeight="1" x14ac:dyDescent="0.25">
      <c r="A7" s="69" t="s">
        <v>14</v>
      </c>
      <c r="B7" s="70" t="s">
        <v>6</v>
      </c>
      <c r="C7" s="70" t="s">
        <v>15</v>
      </c>
      <c r="D7" s="71" t="s">
        <v>16</v>
      </c>
    </row>
    <row r="8" spans="1:4" ht="18" customHeight="1" x14ac:dyDescent="0.25">
      <c r="A8" s="69" t="s">
        <v>17</v>
      </c>
      <c r="B8" s="70" t="s">
        <v>6</v>
      </c>
      <c r="C8" s="70" t="s">
        <v>18</v>
      </c>
      <c r="D8" s="71" t="s">
        <v>19</v>
      </c>
    </row>
    <row r="9" spans="1:4" ht="18" customHeight="1" x14ac:dyDescent="0.25">
      <c r="A9" s="69" t="s">
        <v>20</v>
      </c>
      <c r="B9" s="70" t="s">
        <v>6</v>
      </c>
      <c r="C9" s="70" t="s">
        <v>21</v>
      </c>
      <c r="D9" s="71" t="s">
        <v>8</v>
      </c>
    </row>
    <row r="10" spans="1:4" ht="18" customHeight="1" x14ac:dyDescent="0.25">
      <c r="A10" s="69" t="s">
        <v>22</v>
      </c>
      <c r="B10" s="70" t="s">
        <v>6</v>
      </c>
      <c r="C10" s="70" t="s">
        <v>23</v>
      </c>
      <c r="D10" s="71" t="s">
        <v>24</v>
      </c>
    </row>
    <row r="11" spans="1:4" ht="18" customHeight="1" x14ac:dyDescent="0.25">
      <c r="A11" s="69" t="s">
        <v>25</v>
      </c>
      <c r="B11" s="70" t="s">
        <v>6</v>
      </c>
      <c r="C11" s="70" t="s">
        <v>26</v>
      </c>
      <c r="D11" s="71" t="s">
        <v>27</v>
      </c>
    </row>
    <row r="12" spans="1:4" ht="18" customHeight="1" x14ac:dyDescent="0.25">
      <c r="A12" s="69" t="s">
        <v>5</v>
      </c>
      <c r="B12" s="70" t="s">
        <v>28</v>
      </c>
      <c r="C12" s="70" t="s">
        <v>29</v>
      </c>
      <c r="D12" s="71" t="s">
        <v>30</v>
      </c>
    </row>
    <row r="13" spans="1:4" ht="18" customHeight="1" x14ac:dyDescent="0.25">
      <c r="A13" s="69" t="s">
        <v>14</v>
      </c>
      <c r="B13" s="70" t="s">
        <v>28</v>
      </c>
      <c r="C13" s="70" t="s">
        <v>31</v>
      </c>
      <c r="D13" s="71" t="s">
        <v>32</v>
      </c>
    </row>
    <row r="14" spans="1:4" ht="18" customHeight="1" x14ac:dyDescent="0.25">
      <c r="A14" s="69" t="s">
        <v>17</v>
      </c>
      <c r="B14" s="70" t="s">
        <v>28</v>
      </c>
      <c r="C14" s="70" t="s">
        <v>33</v>
      </c>
      <c r="D14" s="71" t="s">
        <v>34</v>
      </c>
    </row>
    <row r="15" spans="1:4" ht="18" customHeight="1" x14ac:dyDescent="0.25">
      <c r="A15" s="69" t="s">
        <v>20</v>
      </c>
      <c r="B15" s="70" t="s">
        <v>28</v>
      </c>
      <c r="C15" s="70" t="s">
        <v>35</v>
      </c>
      <c r="D15" s="71" t="s">
        <v>36</v>
      </c>
    </row>
    <row r="16" spans="1:4" ht="18" customHeight="1" x14ac:dyDescent="0.25">
      <c r="A16" s="69" t="s">
        <v>22</v>
      </c>
      <c r="B16" s="70" t="s">
        <v>28</v>
      </c>
      <c r="C16" s="70" t="s">
        <v>37</v>
      </c>
      <c r="D16" s="71" t="s">
        <v>38</v>
      </c>
    </row>
    <row r="17" spans="1:4" ht="18" customHeight="1" x14ac:dyDescent="0.25">
      <c r="A17" s="69" t="s">
        <v>25</v>
      </c>
      <c r="B17" s="70" t="s">
        <v>28</v>
      </c>
      <c r="C17" s="70" t="s">
        <v>39</v>
      </c>
      <c r="D17" s="71" t="s">
        <v>40</v>
      </c>
    </row>
    <row r="18" spans="1:4" ht="18" customHeight="1" x14ac:dyDescent="0.25">
      <c r="A18" s="69" t="s">
        <v>41</v>
      </c>
      <c r="B18" s="70" t="s">
        <v>28</v>
      </c>
      <c r="C18" s="70" t="s">
        <v>42</v>
      </c>
      <c r="D18" s="70"/>
    </row>
    <row r="19" spans="1:4" ht="18" customHeight="1" x14ac:dyDescent="0.25">
      <c r="A19" s="69" t="s">
        <v>5</v>
      </c>
      <c r="B19" s="70" t="s">
        <v>43</v>
      </c>
      <c r="C19" s="70" t="s">
        <v>44</v>
      </c>
      <c r="D19" s="71" t="s">
        <v>45</v>
      </c>
    </row>
    <row r="20" spans="1:4" ht="18" customHeight="1" x14ac:dyDescent="0.25">
      <c r="A20" s="69" t="s">
        <v>11</v>
      </c>
      <c r="B20" s="70" t="s">
        <v>43</v>
      </c>
      <c r="C20" s="70" t="s">
        <v>46</v>
      </c>
      <c r="D20" s="71" t="s">
        <v>47</v>
      </c>
    </row>
    <row r="21" spans="1:4" ht="18" customHeight="1" x14ac:dyDescent="0.25">
      <c r="A21" s="69" t="s">
        <v>14</v>
      </c>
      <c r="B21" s="70" t="s">
        <v>43</v>
      </c>
      <c r="C21" s="70" t="s">
        <v>48</v>
      </c>
      <c r="D21" s="71" t="s">
        <v>49</v>
      </c>
    </row>
    <row r="22" spans="1:4" ht="18" customHeight="1" x14ac:dyDescent="0.25">
      <c r="A22" s="69" t="s">
        <v>17</v>
      </c>
      <c r="B22" s="70" t="s">
        <v>43</v>
      </c>
      <c r="C22" s="70" t="s">
        <v>50</v>
      </c>
      <c r="D22" s="71" t="s">
        <v>51</v>
      </c>
    </row>
    <row r="23" spans="1:4" ht="18" customHeight="1" x14ac:dyDescent="0.25">
      <c r="A23" s="69" t="s">
        <v>20</v>
      </c>
      <c r="B23" s="70" t="s">
        <v>43</v>
      </c>
      <c r="C23" s="70" t="s">
        <v>52</v>
      </c>
      <c r="D23" s="71" t="s">
        <v>53</v>
      </c>
    </row>
    <row r="24" spans="1:4" ht="18" customHeight="1" x14ac:dyDescent="0.25">
      <c r="A24" s="69" t="s">
        <v>22</v>
      </c>
      <c r="B24" s="70" t="s">
        <v>43</v>
      </c>
      <c r="C24" s="70" t="s">
        <v>54</v>
      </c>
      <c r="D24" s="71" t="s">
        <v>55</v>
      </c>
    </row>
    <row r="25" spans="1:4" ht="18" customHeight="1" x14ac:dyDescent="0.25">
      <c r="A25" s="69" t="s">
        <v>25</v>
      </c>
      <c r="B25" s="70" t="s">
        <v>43</v>
      </c>
      <c r="C25" s="70" t="s">
        <v>56</v>
      </c>
      <c r="D25" s="71" t="s">
        <v>57</v>
      </c>
    </row>
    <row r="26" spans="1:4" ht="18" customHeight="1" x14ac:dyDescent="0.25">
      <c r="A26" s="69" t="s">
        <v>58</v>
      </c>
      <c r="B26" s="70" t="s">
        <v>43</v>
      </c>
      <c r="C26" s="70" t="s">
        <v>59</v>
      </c>
      <c r="D26" s="71" t="s">
        <v>60</v>
      </c>
    </row>
    <row r="27" spans="1:4" ht="18" customHeight="1" x14ac:dyDescent="0.25">
      <c r="A27" s="69" t="s">
        <v>5</v>
      </c>
      <c r="B27" s="70" t="s">
        <v>61</v>
      </c>
      <c r="C27" s="70" t="s">
        <v>62</v>
      </c>
      <c r="D27" s="71" t="s">
        <v>63</v>
      </c>
    </row>
    <row r="28" spans="1:4" ht="18" customHeight="1" x14ac:dyDescent="0.25">
      <c r="A28" s="69" t="s">
        <v>14</v>
      </c>
      <c r="B28" s="70" t="s">
        <v>61</v>
      </c>
      <c r="C28" s="70" t="s">
        <v>64</v>
      </c>
      <c r="D28" s="71" t="s">
        <v>65</v>
      </c>
    </row>
    <row r="29" spans="1:4" ht="18" customHeight="1" x14ac:dyDescent="0.25">
      <c r="A29" s="69" t="s">
        <v>17</v>
      </c>
      <c r="B29" s="70" t="s">
        <v>61</v>
      </c>
      <c r="C29" s="70" t="s">
        <v>50</v>
      </c>
      <c r="D29" s="71" t="s">
        <v>51</v>
      </c>
    </row>
    <row r="30" spans="1:4" ht="18" customHeight="1" x14ac:dyDescent="0.25">
      <c r="A30" s="69" t="s">
        <v>20</v>
      </c>
      <c r="B30" s="70" t="s">
        <v>61</v>
      </c>
      <c r="C30" s="70" t="s">
        <v>66</v>
      </c>
      <c r="D30" s="71" t="s">
        <v>67</v>
      </c>
    </row>
    <row r="31" spans="1:4" ht="18" customHeight="1" x14ac:dyDescent="0.25">
      <c r="A31" s="69" t="s">
        <v>22</v>
      </c>
      <c r="B31" s="70" t="s">
        <v>61</v>
      </c>
      <c r="C31" s="70" t="s">
        <v>68</v>
      </c>
      <c r="D31" s="71" t="s">
        <v>69</v>
      </c>
    </row>
    <row r="32" spans="1:4" ht="18" customHeight="1" x14ac:dyDescent="0.25">
      <c r="A32" s="69" t="s">
        <v>41</v>
      </c>
      <c r="B32" s="70" t="s">
        <v>61</v>
      </c>
      <c r="C32" s="70" t="s">
        <v>70</v>
      </c>
      <c r="D32" s="71" t="s">
        <v>71</v>
      </c>
    </row>
    <row r="33" spans="1:4" ht="18" customHeight="1" x14ac:dyDescent="0.25">
      <c r="A33" s="69" t="s">
        <v>58</v>
      </c>
      <c r="B33" s="70" t="s">
        <v>61</v>
      </c>
      <c r="C33" s="70" t="s">
        <v>72</v>
      </c>
      <c r="D33" s="71" t="s">
        <v>73</v>
      </c>
    </row>
    <row r="34" spans="1:4" ht="18" customHeight="1" x14ac:dyDescent="0.25">
      <c r="A34" s="69" t="s">
        <v>5</v>
      </c>
      <c r="B34" s="70" t="s">
        <v>74</v>
      </c>
      <c r="C34" s="70" t="s">
        <v>75</v>
      </c>
      <c r="D34" s="71" t="s">
        <v>76</v>
      </c>
    </row>
    <row r="35" spans="1:4" ht="18" customHeight="1" x14ac:dyDescent="0.25">
      <c r="A35" s="69" t="s">
        <v>5</v>
      </c>
      <c r="B35" s="70" t="s">
        <v>74</v>
      </c>
      <c r="C35" s="70" t="s">
        <v>77</v>
      </c>
      <c r="D35" s="71" t="s">
        <v>78</v>
      </c>
    </row>
    <row r="36" spans="1:4" ht="18" customHeight="1" x14ac:dyDescent="0.25">
      <c r="A36" s="69" t="s">
        <v>11</v>
      </c>
      <c r="B36" s="70" t="s">
        <v>74</v>
      </c>
      <c r="C36" s="70" t="s">
        <v>79</v>
      </c>
      <c r="D36" s="71" t="s">
        <v>80</v>
      </c>
    </row>
    <row r="37" spans="1:4" ht="18" customHeight="1" x14ac:dyDescent="0.25">
      <c r="A37" s="69" t="s">
        <v>14</v>
      </c>
      <c r="B37" s="70" t="s">
        <v>74</v>
      </c>
      <c r="C37" s="70" t="s">
        <v>81</v>
      </c>
      <c r="D37" s="71" t="s">
        <v>82</v>
      </c>
    </row>
    <row r="38" spans="1:4" ht="18" customHeight="1" x14ac:dyDescent="0.25">
      <c r="A38" s="69" t="s">
        <v>17</v>
      </c>
      <c r="B38" s="70" t="s">
        <v>74</v>
      </c>
      <c r="C38" s="70" t="s">
        <v>83</v>
      </c>
      <c r="D38" s="71" t="s">
        <v>84</v>
      </c>
    </row>
    <row r="39" spans="1:4" ht="18" customHeight="1" x14ac:dyDescent="0.25">
      <c r="A39" s="69" t="s">
        <v>20</v>
      </c>
      <c r="B39" s="70" t="s">
        <v>74</v>
      </c>
      <c r="C39" s="70" t="s">
        <v>85</v>
      </c>
      <c r="D39" s="71" t="s">
        <v>86</v>
      </c>
    </row>
    <row r="40" spans="1:4" ht="18" customHeight="1" x14ac:dyDescent="0.25">
      <c r="A40" s="69" t="s">
        <v>22</v>
      </c>
      <c r="B40" s="70" t="s">
        <v>74</v>
      </c>
      <c r="C40" s="70" t="s">
        <v>87</v>
      </c>
      <c r="D40" s="71" t="s">
        <v>88</v>
      </c>
    </row>
    <row r="41" spans="1:4" ht="18" customHeight="1" x14ac:dyDescent="0.25">
      <c r="A41" s="69" t="s">
        <v>25</v>
      </c>
      <c r="B41" s="70" t="s">
        <v>74</v>
      </c>
      <c r="C41" s="70" t="s">
        <v>89</v>
      </c>
      <c r="D41" s="71" t="s">
        <v>90</v>
      </c>
    </row>
    <row r="42" spans="1:4" ht="18" customHeight="1" x14ac:dyDescent="0.25">
      <c r="A42" s="69" t="s">
        <v>58</v>
      </c>
      <c r="B42" s="70" t="s">
        <v>74</v>
      </c>
      <c r="C42" s="70" t="s">
        <v>91</v>
      </c>
      <c r="D42" s="71" t="s">
        <v>92</v>
      </c>
    </row>
    <row r="43" spans="1:4" ht="18" customHeight="1" x14ac:dyDescent="0.25">
      <c r="A43" s="69" t="s">
        <v>5</v>
      </c>
      <c r="B43" s="70" t="s">
        <v>93</v>
      </c>
      <c r="C43" s="70" t="s">
        <v>94</v>
      </c>
      <c r="D43" s="71" t="s">
        <v>95</v>
      </c>
    </row>
    <row r="44" spans="1:4" ht="18" customHeight="1" x14ac:dyDescent="0.25">
      <c r="A44" s="69" t="s">
        <v>14</v>
      </c>
      <c r="B44" s="70" t="s">
        <v>93</v>
      </c>
      <c r="C44" s="70" t="s">
        <v>96</v>
      </c>
      <c r="D44" s="71" t="s">
        <v>97</v>
      </c>
    </row>
    <row r="45" spans="1:4" ht="18" customHeight="1" x14ac:dyDescent="0.25">
      <c r="A45" s="69" t="s">
        <v>17</v>
      </c>
      <c r="B45" s="70" t="s">
        <v>93</v>
      </c>
      <c r="C45" s="70" t="s">
        <v>98</v>
      </c>
      <c r="D45" s="71" t="s">
        <v>99</v>
      </c>
    </row>
    <row r="46" spans="1:4" ht="18" customHeight="1" x14ac:dyDescent="0.25">
      <c r="A46" s="69" t="s">
        <v>20</v>
      </c>
      <c r="B46" s="70" t="s">
        <v>93</v>
      </c>
      <c r="C46" s="70" t="s">
        <v>100</v>
      </c>
      <c r="D46" s="71" t="s">
        <v>101</v>
      </c>
    </row>
    <row r="47" spans="1:4" ht="18" customHeight="1" x14ac:dyDescent="0.25">
      <c r="A47" s="69" t="s">
        <v>58</v>
      </c>
      <c r="B47" s="70" t="s">
        <v>102</v>
      </c>
      <c r="C47" s="70" t="s">
        <v>103</v>
      </c>
      <c r="D47" s="71" t="s">
        <v>104</v>
      </c>
    </row>
    <row r="48" spans="1:4" ht="18" customHeight="1" x14ac:dyDescent="0.25">
      <c r="A48" s="69" t="s">
        <v>5</v>
      </c>
      <c r="B48" s="70" t="s">
        <v>105</v>
      </c>
      <c r="C48" s="70" t="s">
        <v>106</v>
      </c>
      <c r="D48" s="71" t="s">
        <v>107</v>
      </c>
    </row>
    <row r="49" spans="1:4" ht="18" customHeight="1" x14ac:dyDescent="0.25">
      <c r="A49" s="69" t="s">
        <v>11</v>
      </c>
      <c r="B49" s="70" t="s">
        <v>105</v>
      </c>
      <c r="C49" s="70" t="s">
        <v>108</v>
      </c>
      <c r="D49" s="71" t="s">
        <v>109</v>
      </c>
    </row>
    <row r="50" spans="1:4" ht="18" customHeight="1" x14ac:dyDescent="0.25">
      <c r="A50" s="69" t="s">
        <v>14</v>
      </c>
      <c r="B50" s="70" t="s">
        <v>105</v>
      </c>
      <c r="C50" s="70" t="s">
        <v>110</v>
      </c>
      <c r="D50" s="71" t="s">
        <v>111</v>
      </c>
    </row>
    <row r="51" spans="1:4" ht="18" customHeight="1" x14ac:dyDescent="0.25">
      <c r="A51" s="69" t="s">
        <v>17</v>
      </c>
      <c r="B51" s="70" t="s">
        <v>105</v>
      </c>
      <c r="C51" s="70" t="s">
        <v>112</v>
      </c>
      <c r="D51" s="71" t="s">
        <v>113</v>
      </c>
    </row>
    <row r="52" spans="1:4" ht="18" customHeight="1" x14ac:dyDescent="0.25">
      <c r="A52" s="69" t="s">
        <v>20</v>
      </c>
      <c r="B52" s="70" t="s">
        <v>105</v>
      </c>
      <c r="C52" s="70" t="s">
        <v>114</v>
      </c>
      <c r="D52" s="71" t="s">
        <v>115</v>
      </c>
    </row>
    <row r="53" spans="1:4" ht="18" customHeight="1" x14ac:dyDescent="0.25">
      <c r="A53" s="69" t="s">
        <v>22</v>
      </c>
      <c r="B53" s="70" t="s">
        <v>105</v>
      </c>
      <c r="C53" s="70" t="s">
        <v>116</v>
      </c>
      <c r="D53" s="71" t="s">
        <v>117</v>
      </c>
    </row>
    <row r="54" spans="1:4" ht="18" customHeight="1" x14ac:dyDescent="0.25">
      <c r="A54" s="69" t="s">
        <v>25</v>
      </c>
      <c r="B54" s="70" t="s">
        <v>105</v>
      </c>
      <c r="C54" s="70" t="s">
        <v>118</v>
      </c>
      <c r="D54" s="71" t="s">
        <v>119</v>
      </c>
    </row>
    <row r="55" spans="1:4" ht="18" customHeight="1" x14ac:dyDescent="0.25">
      <c r="A55" s="69" t="s">
        <v>5</v>
      </c>
      <c r="B55" s="70" t="s">
        <v>120</v>
      </c>
      <c r="C55" s="70" t="s">
        <v>121</v>
      </c>
      <c r="D55" s="71" t="s">
        <v>122</v>
      </c>
    </row>
    <row r="56" spans="1:4" ht="18" customHeight="1" x14ac:dyDescent="0.25">
      <c r="A56" s="69" t="s">
        <v>11</v>
      </c>
      <c r="B56" s="70" t="s">
        <v>120</v>
      </c>
      <c r="C56" s="70" t="s">
        <v>123</v>
      </c>
      <c r="D56" s="70"/>
    </row>
    <row r="57" spans="1:4" ht="18" customHeight="1" x14ac:dyDescent="0.25">
      <c r="A57" s="69" t="s">
        <v>17</v>
      </c>
      <c r="B57" s="70" t="s">
        <v>120</v>
      </c>
      <c r="C57" s="70" t="s">
        <v>124</v>
      </c>
      <c r="D57" s="71" t="s">
        <v>125</v>
      </c>
    </row>
    <row r="58" spans="1:4" ht="18" customHeight="1" x14ac:dyDescent="0.25">
      <c r="A58" s="69" t="s">
        <v>20</v>
      </c>
      <c r="B58" s="70" t="s">
        <v>120</v>
      </c>
      <c r="C58" s="70" t="s">
        <v>126</v>
      </c>
      <c r="D58" s="71" t="s">
        <v>122</v>
      </c>
    </row>
    <row r="59" spans="1:4" ht="18" customHeight="1" x14ac:dyDescent="0.25">
      <c r="A59" s="69" t="s">
        <v>25</v>
      </c>
      <c r="B59" s="70" t="s">
        <v>120</v>
      </c>
      <c r="C59" s="70" t="s">
        <v>121</v>
      </c>
      <c r="D59" s="70"/>
    </row>
  </sheetData>
  <autoFilter ref="A3:D59"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K21"/>
  <sheetViews>
    <sheetView zoomScale="110" zoomScaleNormal="110" workbookViewId="0">
      <pane xSplit="2" topLeftCell="C1" activePane="topRight" state="frozen"/>
      <selection pane="topRight" activeCell="C8" sqref="C8"/>
    </sheetView>
  </sheetViews>
  <sheetFormatPr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s>
  <sheetData>
    <row r="1" spans="2:11" x14ac:dyDescent="0.25">
      <c r="B1" s="1" t="s">
        <v>127</v>
      </c>
    </row>
    <row r="2" spans="2:11" x14ac:dyDescent="0.25">
      <c r="B2" s="6">
        <v>46119</v>
      </c>
    </row>
    <row r="5" spans="2:11" x14ac:dyDescent="0.25">
      <c r="B5" s="4" t="s">
        <v>128</v>
      </c>
      <c r="C5" s="4" t="s">
        <v>5</v>
      </c>
      <c r="D5" s="4" t="s">
        <v>11</v>
      </c>
      <c r="E5" s="4" t="s">
        <v>14</v>
      </c>
      <c r="F5" s="4" t="s">
        <v>17</v>
      </c>
      <c r="G5" s="4" t="s">
        <v>20</v>
      </c>
      <c r="H5" s="4" t="s">
        <v>22</v>
      </c>
      <c r="I5" s="4" t="s">
        <v>25</v>
      </c>
      <c r="J5" s="4" t="s">
        <v>41</v>
      </c>
      <c r="K5" s="4" t="s">
        <v>58</v>
      </c>
    </row>
    <row r="6" spans="2:11" x14ac:dyDescent="0.25">
      <c r="B6" s="3" t="s">
        <v>129</v>
      </c>
      <c r="C6" s="5" t="s">
        <v>130</v>
      </c>
      <c r="D6" s="5" t="s">
        <v>130</v>
      </c>
      <c r="E6" s="5" t="s">
        <v>131</v>
      </c>
      <c r="F6" s="5" t="s">
        <v>132</v>
      </c>
      <c r="G6" s="5" t="s">
        <v>130</v>
      </c>
      <c r="H6" s="5" t="s">
        <v>132</v>
      </c>
      <c r="I6" s="5" t="s">
        <v>130</v>
      </c>
      <c r="J6" s="5" t="s">
        <v>133</v>
      </c>
      <c r="K6" s="5" t="s">
        <v>134</v>
      </c>
    </row>
    <row r="7" spans="2:11" x14ac:dyDescent="0.25">
      <c r="B7" s="3" t="s">
        <v>135</v>
      </c>
      <c r="C7" s="5" t="s">
        <v>136</v>
      </c>
      <c r="D7" s="5" t="s">
        <v>136</v>
      </c>
      <c r="E7" s="5" t="s">
        <v>130</v>
      </c>
      <c r="F7" s="5" t="s">
        <v>137</v>
      </c>
      <c r="G7" s="5" t="s">
        <v>136</v>
      </c>
      <c r="H7" s="5" t="s">
        <v>138</v>
      </c>
      <c r="I7" s="5" t="s">
        <v>136</v>
      </c>
      <c r="J7" s="5" t="s">
        <v>139</v>
      </c>
      <c r="K7" s="5" t="s">
        <v>140</v>
      </c>
    </row>
    <row r="8" spans="2:11" x14ac:dyDescent="0.25">
      <c r="B8" s="3" t="s">
        <v>135</v>
      </c>
      <c r="C8" s="5"/>
      <c r="D8" s="5"/>
      <c r="E8" s="5"/>
      <c r="F8" s="5"/>
      <c r="G8" s="5"/>
      <c r="H8" s="5"/>
      <c r="I8" s="5"/>
      <c r="J8" s="5" t="s">
        <v>141</v>
      </c>
      <c r="K8" s="5"/>
    </row>
    <row r="9" spans="2:11" x14ac:dyDescent="0.25">
      <c r="B9" s="3" t="s">
        <v>142</v>
      </c>
      <c r="C9" s="5" t="s">
        <v>143</v>
      </c>
      <c r="D9" s="5" t="s">
        <v>144</v>
      </c>
      <c r="E9" s="5"/>
      <c r="F9" s="5" t="s">
        <v>145</v>
      </c>
      <c r="G9" s="5" t="s">
        <v>143</v>
      </c>
      <c r="H9" s="5" t="s">
        <v>145</v>
      </c>
      <c r="I9" s="5" t="s">
        <v>143</v>
      </c>
      <c r="J9" s="5" t="s">
        <v>145</v>
      </c>
      <c r="K9" s="5" t="s">
        <v>144</v>
      </c>
    </row>
    <row r="10" spans="2:11" x14ac:dyDescent="0.25">
      <c r="B10" s="3" t="s">
        <v>146</v>
      </c>
      <c r="C10" s="5"/>
      <c r="D10" s="5"/>
      <c r="E10" s="5"/>
      <c r="F10" s="5"/>
      <c r="G10" s="5"/>
      <c r="H10" s="5" t="s">
        <v>147</v>
      </c>
      <c r="I10" s="5" t="s">
        <v>145</v>
      </c>
      <c r="J10" s="5" t="s">
        <v>143</v>
      </c>
      <c r="K10" s="5" t="s">
        <v>145</v>
      </c>
    </row>
    <row r="11" spans="2:11" x14ac:dyDescent="0.25">
      <c r="B11" s="3" t="s">
        <v>148</v>
      </c>
      <c r="C11" s="5" t="s">
        <v>149</v>
      </c>
      <c r="D11" s="5" t="s">
        <v>149</v>
      </c>
      <c r="E11" s="5" t="s">
        <v>149</v>
      </c>
      <c r="F11" s="5" t="s">
        <v>149</v>
      </c>
      <c r="G11" s="5" t="s">
        <v>149</v>
      </c>
      <c r="H11" s="5" t="s">
        <v>149</v>
      </c>
      <c r="I11" s="5" t="s">
        <v>149</v>
      </c>
      <c r="J11" s="5" t="s">
        <v>149</v>
      </c>
      <c r="K11" s="5" t="s">
        <v>149</v>
      </c>
    </row>
    <row r="12" spans="2:11" x14ac:dyDescent="0.25">
      <c r="B12" s="3" t="s">
        <v>150</v>
      </c>
      <c r="C12" s="5" t="s">
        <v>151</v>
      </c>
      <c r="D12" s="5" t="s">
        <v>151</v>
      </c>
      <c r="E12" s="5" t="s">
        <v>151</v>
      </c>
      <c r="F12" s="5" t="s">
        <v>151</v>
      </c>
      <c r="G12" s="5" t="s">
        <v>151</v>
      </c>
      <c r="H12" s="5" t="s">
        <v>151</v>
      </c>
      <c r="I12" s="5" t="s">
        <v>151</v>
      </c>
      <c r="J12" s="5" t="s">
        <v>151</v>
      </c>
      <c r="K12" s="5" t="s">
        <v>151</v>
      </c>
    </row>
    <row r="13" spans="2:11" x14ac:dyDescent="0.25">
      <c r="B13" s="3" t="s">
        <v>152</v>
      </c>
      <c r="C13" s="5" t="s">
        <v>153</v>
      </c>
      <c r="D13" s="5" t="s">
        <v>153</v>
      </c>
      <c r="E13" s="5" t="s">
        <v>153</v>
      </c>
      <c r="F13" s="5" t="s">
        <v>153</v>
      </c>
      <c r="G13" s="5" t="s">
        <v>153</v>
      </c>
      <c r="H13" s="5" t="s">
        <v>153</v>
      </c>
      <c r="I13" s="5" t="s">
        <v>153</v>
      </c>
      <c r="J13" s="5" t="s">
        <v>153</v>
      </c>
      <c r="K13" s="5" t="s">
        <v>153</v>
      </c>
    </row>
    <row r="14" spans="2:11" x14ac:dyDescent="0.25">
      <c r="B14" s="3" t="s">
        <v>154</v>
      </c>
      <c r="C14" s="5" t="s">
        <v>155</v>
      </c>
      <c r="D14" s="5" t="s">
        <v>155</v>
      </c>
      <c r="E14" s="5" t="s">
        <v>156</v>
      </c>
      <c r="F14" s="5" t="s">
        <v>157</v>
      </c>
      <c r="G14" s="5" t="s">
        <v>155</v>
      </c>
      <c r="H14" s="5" t="s">
        <v>155</v>
      </c>
      <c r="I14" s="5" t="s">
        <v>158</v>
      </c>
      <c r="J14" s="5"/>
      <c r="K14" s="5" t="s">
        <v>155</v>
      </c>
    </row>
    <row r="15" spans="2:11" x14ac:dyDescent="0.25">
      <c r="B15" s="3" t="s">
        <v>154</v>
      </c>
      <c r="C15" s="5" t="s">
        <v>158</v>
      </c>
      <c r="D15" s="5" t="s">
        <v>158</v>
      </c>
      <c r="E15" s="5" t="s">
        <v>158</v>
      </c>
      <c r="F15" s="5"/>
      <c r="G15" s="5" t="s">
        <v>158</v>
      </c>
      <c r="H15" s="5" t="s">
        <v>159</v>
      </c>
      <c r="I15" s="5" t="s">
        <v>155</v>
      </c>
      <c r="J15" s="5"/>
      <c r="K15" s="5" t="s">
        <v>160</v>
      </c>
    </row>
    <row r="16" spans="2:11" x14ac:dyDescent="0.25">
      <c r="B16" s="3" t="s">
        <v>161</v>
      </c>
      <c r="C16" s="5" t="s">
        <v>162</v>
      </c>
      <c r="D16" s="5" t="s">
        <v>162</v>
      </c>
      <c r="E16" s="5" t="s">
        <v>163</v>
      </c>
      <c r="F16" s="5" t="s">
        <v>164</v>
      </c>
      <c r="G16" s="5" t="s">
        <v>162</v>
      </c>
      <c r="H16" s="5" t="s">
        <v>164</v>
      </c>
      <c r="I16" s="5" t="s">
        <v>164</v>
      </c>
      <c r="J16" s="5" t="s">
        <v>164</v>
      </c>
      <c r="K16" s="5" t="s">
        <v>165</v>
      </c>
    </row>
    <row r="17" spans="2:11" x14ac:dyDescent="0.25">
      <c r="B17" s="3" t="s">
        <v>166</v>
      </c>
      <c r="C17" s="5" t="s">
        <v>167</v>
      </c>
      <c r="D17" s="5" t="s">
        <v>168</v>
      </c>
      <c r="E17" s="5" t="s">
        <v>164</v>
      </c>
      <c r="F17" s="5" t="s">
        <v>169</v>
      </c>
      <c r="G17" s="5" t="s">
        <v>168</v>
      </c>
      <c r="H17" s="5" t="s">
        <v>168</v>
      </c>
      <c r="I17" s="5" t="s">
        <v>162</v>
      </c>
      <c r="J17" s="5" t="s">
        <v>167</v>
      </c>
      <c r="K17" s="5" t="s">
        <v>170</v>
      </c>
    </row>
    <row r="18" spans="2:11" x14ac:dyDescent="0.25">
      <c r="B18" s="3" t="s">
        <v>171</v>
      </c>
      <c r="C18" s="5" t="s">
        <v>164</v>
      </c>
      <c r="D18" s="5" t="s">
        <v>164</v>
      </c>
      <c r="E18" s="5"/>
      <c r="F18" s="5" t="s">
        <v>168</v>
      </c>
      <c r="G18" s="12" t="s">
        <v>172</v>
      </c>
      <c r="H18" s="5" t="s">
        <v>169</v>
      </c>
      <c r="I18" s="5" t="s">
        <v>167</v>
      </c>
      <c r="J18" s="5"/>
      <c r="K18" s="5" t="s">
        <v>164</v>
      </c>
    </row>
    <row r="19" spans="2:11" x14ac:dyDescent="0.25">
      <c r="B19" s="3" t="s">
        <v>173</v>
      </c>
      <c r="C19" s="5" t="s">
        <v>174</v>
      </c>
      <c r="D19" s="5"/>
      <c r="E19" s="5"/>
      <c r="F19" s="5"/>
      <c r="G19" s="5" t="s">
        <v>164</v>
      </c>
      <c r="H19" s="5"/>
      <c r="I19" s="5" t="s">
        <v>168</v>
      </c>
      <c r="J19" s="5"/>
      <c r="K19" s="5" t="s">
        <v>168</v>
      </c>
    </row>
    <row r="20" spans="2:11" x14ac:dyDescent="0.25">
      <c r="B20" s="3" t="s">
        <v>175</v>
      </c>
      <c r="C20" s="5" t="s">
        <v>168</v>
      </c>
      <c r="D20" s="5"/>
      <c r="E20" s="5"/>
      <c r="F20" s="5"/>
      <c r="G20" s="5"/>
      <c r="H20" s="5"/>
      <c r="I20" s="12" t="s">
        <v>172</v>
      </c>
      <c r="J20" s="5"/>
      <c r="K20" s="5"/>
    </row>
    <row r="21" spans="2:11" x14ac:dyDescent="0.25">
      <c r="B21" s="3" t="s">
        <v>176</v>
      </c>
      <c r="C21" s="13"/>
      <c r="D21" s="5"/>
      <c r="E21" s="5"/>
      <c r="F21" s="5"/>
      <c r="G21" s="5"/>
      <c r="H21" s="5"/>
      <c r="I21" s="5"/>
      <c r="J21" s="5"/>
      <c r="K21"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K15"/>
  <sheetViews>
    <sheetView workbookViewId="0">
      <selection activeCell="K10" sqref="K10"/>
    </sheetView>
  </sheetViews>
  <sheetFormatPr defaultRowHeight="15" x14ac:dyDescent="0.25"/>
  <cols>
    <col min="1" max="1" width="3.42578125" customWidth="1"/>
    <col min="2" max="2" width="11.28515625" customWidth="1"/>
    <col min="3" max="3" width="18.7109375" customWidth="1"/>
    <col min="4" max="5" width="11.7109375" customWidth="1"/>
    <col min="9" max="9" width="45.42578125" customWidth="1"/>
    <col min="10" max="10" width="13.5703125" customWidth="1"/>
    <col min="11" max="11" width="44.28515625" customWidth="1"/>
  </cols>
  <sheetData>
    <row r="1" spans="2:11" x14ac:dyDescent="0.25">
      <c r="B1" s="1" t="s">
        <v>127</v>
      </c>
    </row>
    <row r="2" spans="2:11" x14ac:dyDescent="0.25">
      <c r="B2" s="6">
        <v>46119</v>
      </c>
    </row>
    <row r="4" spans="2:11" ht="27.6" customHeight="1" x14ac:dyDescent="0.25">
      <c r="B4" s="7" t="s">
        <v>177</v>
      </c>
      <c r="C4" s="8" t="s">
        <v>178</v>
      </c>
      <c r="D4" s="8" t="s">
        <v>179</v>
      </c>
      <c r="E4" s="7" t="s">
        <v>1</v>
      </c>
      <c r="F4" s="7" t="s">
        <v>180</v>
      </c>
      <c r="G4" s="8" t="s">
        <v>181</v>
      </c>
      <c r="H4" s="8" t="s">
        <v>182</v>
      </c>
      <c r="I4" s="7" t="s">
        <v>183</v>
      </c>
      <c r="J4" s="7" t="s">
        <v>184</v>
      </c>
      <c r="K4" s="7" t="s">
        <v>185</v>
      </c>
    </row>
    <row r="5" spans="2:11" ht="24" x14ac:dyDescent="0.25">
      <c r="B5" s="9">
        <v>701677</v>
      </c>
      <c r="C5" s="10" t="s">
        <v>186</v>
      </c>
      <c r="D5" s="10" t="s">
        <v>17</v>
      </c>
      <c r="E5" s="10" t="s">
        <v>187</v>
      </c>
      <c r="F5" s="9" t="s">
        <v>188</v>
      </c>
      <c r="G5" s="10" t="s">
        <v>189</v>
      </c>
      <c r="H5" s="10" t="s">
        <v>190</v>
      </c>
      <c r="I5" s="10" t="s">
        <v>191</v>
      </c>
      <c r="J5" s="11">
        <v>46111</v>
      </c>
      <c r="K5" s="10" t="s">
        <v>192</v>
      </c>
    </row>
    <row r="6" spans="2:11" x14ac:dyDescent="0.25">
      <c r="B6" s="9">
        <v>664364</v>
      </c>
      <c r="C6" s="10" t="s">
        <v>193</v>
      </c>
      <c r="D6" s="10" t="s">
        <v>17</v>
      </c>
      <c r="E6" s="10" t="s">
        <v>187</v>
      </c>
      <c r="F6" s="9" t="s">
        <v>188</v>
      </c>
      <c r="G6" s="10" t="s">
        <v>189</v>
      </c>
      <c r="H6" s="10" t="s">
        <v>194</v>
      </c>
      <c r="I6" s="10" t="s">
        <v>195</v>
      </c>
      <c r="J6" s="11">
        <v>46112</v>
      </c>
      <c r="K6" s="10" t="s">
        <v>196</v>
      </c>
    </row>
    <row r="7" spans="2:11" ht="24" x14ac:dyDescent="0.25">
      <c r="B7" s="9">
        <v>664338</v>
      </c>
      <c r="C7" s="10" t="s">
        <v>197</v>
      </c>
      <c r="D7" s="10" t="s">
        <v>17</v>
      </c>
      <c r="E7" s="10" t="s">
        <v>187</v>
      </c>
      <c r="F7" s="9" t="s">
        <v>188</v>
      </c>
      <c r="G7" s="10" t="s">
        <v>189</v>
      </c>
      <c r="H7" s="10" t="s">
        <v>194</v>
      </c>
      <c r="I7" s="10" t="s">
        <v>198</v>
      </c>
      <c r="J7" s="11">
        <v>46098</v>
      </c>
      <c r="K7" s="10" t="s">
        <v>199</v>
      </c>
    </row>
    <row r="8" spans="2:11" x14ac:dyDescent="0.25">
      <c r="B8" s="9">
        <v>705321</v>
      </c>
      <c r="C8" s="10" t="s">
        <v>200</v>
      </c>
      <c r="D8" s="10" t="s">
        <v>5</v>
      </c>
      <c r="E8" s="10" t="s">
        <v>201</v>
      </c>
      <c r="F8" s="9" t="s">
        <v>188</v>
      </c>
      <c r="G8" s="10" t="s">
        <v>189</v>
      </c>
      <c r="H8" s="10" t="s">
        <v>194</v>
      </c>
      <c r="I8" s="10" t="s">
        <v>202</v>
      </c>
      <c r="J8" s="11">
        <v>46112</v>
      </c>
      <c r="K8" s="10"/>
    </row>
    <row r="9" spans="2:11" x14ac:dyDescent="0.25">
      <c r="B9" s="9">
        <v>705320</v>
      </c>
      <c r="C9" s="10" t="s">
        <v>200</v>
      </c>
      <c r="D9" s="10" t="s">
        <v>5</v>
      </c>
      <c r="E9" s="10" t="s">
        <v>203</v>
      </c>
      <c r="F9" s="9" t="s">
        <v>188</v>
      </c>
      <c r="G9" s="10" t="s">
        <v>189</v>
      </c>
      <c r="H9" s="10" t="s">
        <v>194</v>
      </c>
      <c r="I9" s="10" t="s">
        <v>202</v>
      </c>
      <c r="J9" s="11">
        <v>46112</v>
      </c>
      <c r="K9" s="10"/>
    </row>
    <row r="10" spans="2:11" x14ac:dyDescent="0.25">
      <c r="B10" s="9">
        <v>691925</v>
      </c>
      <c r="C10" s="10" t="s">
        <v>204</v>
      </c>
      <c r="D10" s="10" t="s">
        <v>5</v>
      </c>
      <c r="E10" s="10" t="s">
        <v>203</v>
      </c>
      <c r="F10" s="9" t="s">
        <v>188</v>
      </c>
      <c r="G10" s="10" t="s">
        <v>189</v>
      </c>
      <c r="H10" s="10" t="s">
        <v>194</v>
      </c>
      <c r="I10" s="10" t="s">
        <v>205</v>
      </c>
      <c r="J10" s="11">
        <v>46082</v>
      </c>
      <c r="K10" s="10" t="s">
        <v>206</v>
      </c>
    </row>
    <row r="11" spans="2:11" x14ac:dyDescent="0.25">
      <c r="B11" s="9">
        <v>691927</v>
      </c>
      <c r="C11" s="10" t="s">
        <v>204</v>
      </c>
      <c r="D11" s="10" t="s">
        <v>5</v>
      </c>
      <c r="E11" s="10" t="s">
        <v>201</v>
      </c>
      <c r="F11" s="9" t="s">
        <v>188</v>
      </c>
      <c r="G11" s="10" t="s">
        <v>189</v>
      </c>
      <c r="H11" s="10" t="s">
        <v>194</v>
      </c>
      <c r="I11" s="10" t="s">
        <v>205</v>
      </c>
      <c r="J11" s="11">
        <v>46082</v>
      </c>
      <c r="K11" s="10" t="s">
        <v>206</v>
      </c>
    </row>
    <row r="12" spans="2:11" x14ac:dyDescent="0.25">
      <c r="B12" s="9">
        <v>701802</v>
      </c>
      <c r="C12" s="10" t="s">
        <v>207</v>
      </c>
      <c r="D12" s="10" t="s">
        <v>11</v>
      </c>
      <c r="E12" s="10" t="s">
        <v>208</v>
      </c>
      <c r="F12" s="9" t="s">
        <v>188</v>
      </c>
      <c r="G12" s="10" t="s">
        <v>189</v>
      </c>
      <c r="H12" s="10" t="s">
        <v>194</v>
      </c>
      <c r="I12" s="10" t="s">
        <v>209</v>
      </c>
      <c r="J12" s="11">
        <v>46112</v>
      </c>
      <c r="K12" s="10"/>
    </row>
    <row r="13" spans="2:11" ht="24" customHeight="1" x14ac:dyDescent="0.25">
      <c r="B13" s="9">
        <v>700624</v>
      </c>
      <c r="C13" s="10" t="s">
        <v>210</v>
      </c>
      <c r="D13" s="10" t="s">
        <v>11</v>
      </c>
      <c r="E13" s="10" t="s">
        <v>208</v>
      </c>
      <c r="F13" s="9" t="s">
        <v>188</v>
      </c>
      <c r="G13" s="10" t="s">
        <v>189</v>
      </c>
      <c r="H13" s="10" t="s">
        <v>194</v>
      </c>
      <c r="I13" s="10" t="s">
        <v>211</v>
      </c>
      <c r="J13" s="11">
        <v>46081</v>
      </c>
      <c r="K13" s="10" t="s">
        <v>206</v>
      </c>
    </row>
    <row r="14" spans="2:11" ht="24" x14ac:dyDescent="0.25">
      <c r="B14" s="9">
        <v>701796</v>
      </c>
      <c r="C14" s="10" t="s">
        <v>212</v>
      </c>
      <c r="D14" s="10" t="s">
        <v>20</v>
      </c>
      <c r="E14" s="10" t="s">
        <v>213</v>
      </c>
      <c r="F14" s="9" t="s">
        <v>188</v>
      </c>
      <c r="G14" s="10" t="s">
        <v>189</v>
      </c>
      <c r="H14" s="10" t="s">
        <v>194</v>
      </c>
      <c r="I14" s="10" t="s">
        <v>214</v>
      </c>
      <c r="J14" s="11">
        <v>46068</v>
      </c>
      <c r="K14" s="10" t="s">
        <v>206</v>
      </c>
    </row>
    <row r="15" spans="2:11" ht="24" customHeight="1" x14ac:dyDescent="0.25">
      <c r="B15" s="9">
        <v>701680</v>
      </c>
      <c r="C15" s="10" t="s">
        <v>215</v>
      </c>
      <c r="D15" s="10" t="s">
        <v>20</v>
      </c>
      <c r="E15" s="10" t="s">
        <v>213</v>
      </c>
      <c r="F15" s="9" t="s">
        <v>188</v>
      </c>
      <c r="G15" s="10" t="s">
        <v>189</v>
      </c>
      <c r="H15" s="10" t="s">
        <v>194</v>
      </c>
      <c r="I15" s="10" t="s">
        <v>216</v>
      </c>
      <c r="J15" s="11">
        <v>46112</v>
      </c>
      <c r="K15" s="1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21"/>
  <sheetViews>
    <sheetView workbookViewId="0">
      <selection activeCell="K5" sqref="K5"/>
    </sheetView>
  </sheetViews>
  <sheetFormatPr defaultRowHeight="15" x14ac:dyDescent="0.25"/>
  <cols>
    <col min="1" max="1" width="3" customWidth="1"/>
    <col min="2" max="2" width="11.140625" customWidth="1"/>
    <col min="3" max="3" width="18.7109375" customWidth="1"/>
    <col min="4" max="4" width="12.28515625" customWidth="1"/>
    <col min="5" max="5" width="11.7109375" customWidth="1"/>
    <col min="6" max="7" width="8" customWidth="1"/>
    <col min="8" max="8" width="13.7109375" customWidth="1"/>
    <col min="9" max="9" width="28.7109375" customWidth="1"/>
    <col min="10" max="10" width="12.7109375" customWidth="1"/>
    <col min="11" max="11" width="14" customWidth="1"/>
  </cols>
  <sheetData>
    <row r="1" spans="2:11" x14ac:dyDescent="0.25">
      <c r="B1" s="1" t="s">
        <v>127</v>
      </c>
    </row>
    <row r="2" spans="2:11" x14ac:dyDescent="0.25">
      <c r="B2" s="6">
        <v>46119</v>
      </c>
    </row>
    <row r="4" spans="2:11" ht="41.45" customHeight="1" x14ac:dyDescent="0.25">
      <c r="B4" s="7" t="s">
        <v>177</v>
      </c>
      <c r="C4" s="8" t="s">
        <v>178</v>
      </c>
      <c r="D4" s="7" t="s">
        <v>217</v>
      </c>
      <c r="E4" s="7" t="s">
        <v>218</v>
      </c>
      <c r="F4" s="7" t="s">
        <v>180</v>
      </c>
      <c r="G4" s="8" t="s">
        <v>219</v>
      </c>
      <c r="H4" s="8" t="s">
        <v>220</v>
      </c>
      <c r="I4" s="7" t="s">
        <v>221</v>
      </c>
      <c r="J4" s="7" t="s">
        <v>222</v>
      </c>
      <c r="K4" s="8" t="s">
        <v>223</v>
      </c>
    </row>
    <row r="5" spans="2:11" ht="24" customHeight="1" x14ac:dyDescent="0.25">
      <c r="B5" s="10">
        <v>639848</v>
      </c>
      <c r="C5" s="10" t="s">
        <v>224</v>
      </c>
      <c r="D5" s="10" t="s">
        <v>11</v>
      </c>
      <c r="E5" s="10" t="s">
        <v>208</v>
      </c>
      <c r="F5" s="10" t="s">
        <v>188</v>
      </c>
      <c r="G5" s="10" t="s">
        <v>189</v>
      </c>
      <c r="H5" s="10" t="s">
        <v>190</v>
      </c>
      <c r="I5" s="10" t="s">
        <v>225</v>
      </c>
      <c r="J5" s="11">
        <v>46136</v>
      </c>
      <c r="K5" s="10">
        <f t="shared" ref="K5:K21" ca="1" si="0">J5-TODAY()</f>
        <v>-21</v>
      </c>
    </row>
    <row r="6" spans="2:11" ht="24" customHeight="1" x14ac:dyDescent="0.25">
      <c r="B6" s="10">
        <v>670362</v>
      </c>
      <c r="C6" s="10" t="s">
        <v>226</v>
      </c>
      <c r="D6" s="10" t="s">
        <v>17</v>
      </c>
      <c r="E6" s="10" t="s">
        <v>187</v>
      </c>
      <c r="F6" s="10" t="s">
        <v>188</v>
      </c>
      <c r="G6" s="10" t="s">
        <v>189</v>
      </c>
      <c r="H6" s="10" t="s">
        <v>190</v>
      </c>
      <c r="I6" s="10" t="s">
        <v>227</v>
      </c>
      <c r="J6" s="11">
        <v>46142</v>
      </c>
      <c r="K6" s="10">
        <f t="shared" ca="1" si="0"/>
        <v>-15</v>
      </c>
    </row>
    <row r="7" spans="2:11" ht="24" x14ac:dyDescent="0.25">
      <c r="B7" s="10">
        <v>690057</v>
      </c>
      <c r="C7" s="10" t="s">
        <v>228</v>
      </c>
      <c r="D7" s="10" t="s">
        <v>5</v>
      </c>
      <c r="E7" s="10" t="s">
        <v>201</v>
      </c>
      <c r="F7" s="10" t="s">
        <v>188</v>
      </c>
      <c r="G7" s="10" t="s">
        <v>189</v>
      </c>
      <c r="H7" s="10" t="s">
        <v>190</v>
      </c>
      <c r="I7" s="10" t="s">
        <v>229</v>
      </c>
      <c r="J7" s="11">
        <v>46142</v>
      </c>
      <c r="K7" s="10">
        <f t="shared" ca="1" si="0"/>
        <v>-15</v>
      </c>
    </row>
    <row r="8" spans="2:11" ht="24" x14ac:dyDescent="0.25">
      <c r="B8" s="10">
        <v>690057</v>
      </c>
      <c r="C8" s="10" t="s">
        <v>228</v>
      </c>
      <c r="D8" s="10" t="s">
        <v>5</v>
      </c>
      <c r="E8" s="10" t="s">
        <v>203</v>
      </c>
      <c r="F8" s="10" t="s">
        <v>188</v>
      </c>
      <c r="G8" s="10" t="s">
        <v>189</v>
      </c>
      <c r="H8" s="10" t="s">
        <v>190</v>
      </c>
      <c r="I8" s="10" t="s">
        <v>229</v>
      </c>
      <c r="J8" s="11">
        <v>46142</v>
      </c>
      <c r="K8" s="10">
        <f t="shared" ca="1" si="0"/>
        <v>-15</v>
      </c>
    </row>
    <row r="9" spans="2:11" ht="24" customHeight="1" x14ac:dyDescent="0.25">
      <c r="B9" s="10">
        <v>705312</v>
      </c>
      <c r="C9" s="10" t="s">
        <v>186</v>
      </c>
      <c r="D9" s="10" t="s">
        <v>11</v>
      </c>
      <c r="E9" s="10" t="s">
        <v>208</v>
      </c>
      <c r="F9" s="10" t="s">
        <v>188</v>
      </c>
      <c r="G9" s="10" t="s">
        <v>189</v>
      </c>
      <c r="H9" s="10" t="s">
        <v>190</v>
      </c>
      <c r="I9" s="10" t="s">
        <v>230</v>
      </c>
      <c r="J9" s="11">
        <v>46142</v>
      </c>
      <c r="K9" s="10">
        <f t="shared" ca="1" si="0"/>
        <v>-15</v>
      </c>
    </row>
    <row r="10" spans="2:11" ht="24" customHeight="1" x14ac:dyDescent="0.25">
      <c r="B10" s="10">
        <v>705313</v>
      </c>
      <c r="C10" s="10" t="s">
        <v>226</v>
      </c>
      <c r="D10" s="10" t="s">
        <v>11</v>
      </c>
      <c r="E10" s="10" t="s">
        <v>208</v>
      </c>
      <c r="F10" s="10" t="s">
        <v>188</v>
      </c>
      <c r="G10" s="10" t="s">
        <v>189</v>
      </c>
      <c r="H10" s="10" t="s">
        <v>190</v>
      </c>
      <c r="I10" s="10" t="s">
        <v>231</v>
      </c>
      <c r="J10" s="11">
        <v>46142</v>
      </c>
      <c r="K10" s="10">
        <f t="shared" ca="1" si="0"/>
        <v>-15</v>
      </c>
    </row>
    <row r="11" spans="2:11" ht="24" x14ac:dyDescent="0.25">
      <c r="B11" s="10">
        <v>701800</v>
      </c>
      <c r="C11" s="10" t="s">
        <v>232</v>
      </c>
      <c r="D11" s="10" t="s">
        <v>20</v>
      </c>
      <c r="E11" s="10" t="s">
        <v>213</v>
      </c>
      <c r="F11" s="10" t="s">
        <v>188</v>
      </c>
      <c r="G11" s="10" t="s">
        <v>189</v>
      </c>
      <c r="H11" s="10" t="s">
        <v>190</v>
      </c>
      <c r="I11" s="10" t="s">
        <v>233</v>
      </c>
      <c r="J11" s="11">
        <v>46142</v>
      </c>
      <c r="K11" s="10">
        <f t="shared" ca="1" si="0"/>
        <v>-15</v>
      </c>
    </row>
    <row r="12" spans="2:11" ht="24" customHeight="1" x14ac:dyDescent="0.25">
      <c r="B12" s="10">
        <v>692690</v>
      </c>
      <c r="C12" s="10" t="s">
        <v>234</v>
      </c>
      <c r="D12" s="10" t="s">
        <v>25</v>
      </c>
      <c r="E12" s="10" t="s">
        <v>235</v>
      </c>
      <c r="F12" s="10" t="s">
        <v>188</v>
      </c>
      <c r="G12" s="10" t="s">
        <v>189</v>
      </c>
      <c r="H12" s="10" t="s">
        <v>190</v>
      </c>
      <c r="I12" s="10" t="s">
        <v>236</v>
      </c>
      <c r="J12" s="11">
        <v>46142</v>
      </c>
      <c r="K12" s="10">
        <f t="shared" ca="1" si="0"/>
        <v>-15</v>
      </c>
    </row>
    <row r="13" spans="2:11" x14ac:dyDescent="0.25">
      <c r="B13" s="10">
        <v>692694</v>
      </c>
      <c r="C13" s="10" t="s">
        <v>237</v>
      </c>
      <c r="D13" s="10" t="s">
        <v>25</v>
      </c>
      <c r="E13" s="10" t="s">
        <v>235</v>
      </c>
      <c r="F13" s="10" t="s">
        <v>188</v>
      </c>
      <c r="G13" s="10" t="s">
        <v>189</v>
      </c>
      <c r="H13" s="10" t="s">
        <v>194</v>
      </c>
      <c r="I13" s="10" t="s">
        <v>238</v>
      </c>
      <c r="J13" s="11">
        <v>46214</v>
      </c>
      <c r="K13" s="10">
        <f t="shared" ca="1" si="0"/>
        <v>57</v>
      </c>
    </row>
    <row r="14" spans="2:11" ht="24" x14ac:dyDescent="0.25">
      <c r="B14" s="10">
        <v>701797</v>
      </c>
      <c r="C14" s="10" t="s">
        <v>239</v>
      </c>
      <c r="D14" s="10" t="s">
        <v>20</v>
      </c>
      <c r="E14" s="10" t="s">
        <v>213</v>
      </c>
      <c r="F14" s="10" t="s">
        <v>188</v>
      </c>
      <c r="G14" s="10" t="s">
        <v>189</v>
      </c>
      <c r="H14" s="10" t="s">
        <v>194</v>
      </c>
      <c r="I14" s="10" t="s">
        <v>214</v>
      </c>
      <c r="J14" s="11">
        <v>46249</v>
      </c>
      <c r="K14" s="10">
        <f t="shared" ca="1" si="0"/>
        <v>92</v>
      </c>
    </row>
    <row r="15" spans="2:11" ht="24" customHeight="1" x14ac:dyDescent="0.25">
      <c r="B15" s="10">
        <v>686955</v>
      </c>
      <c r="C15" s="10" t="s">
        <v>232</v>
      </c>
      <c r="D15" s="10" t="s">
        <v>11</v>
      </c>
      <c r="E15" s="10" t="s">
        <v>208</v>
      </c>
      <c r="F15" s="10" t="s">
        <v>188</v>
      </c>
      <c r="G15" s="10" t="s">
        <v>189</v>
      </c>
      <c r="H15" s="10" t="s">
        <v>190</v>
      </c>
      <c r="I15" s="10" t="s">
        <v>240</v>
      </c>
      <c r="J15" s="11">
        <v>46258</v>
      </c>
      <c r="K15" s="10">
        <f t="shared" ca="1" si="0"/>
        <v>101</v>
      </c>
    </row>
    <row r="16" spans="2:11" x14ac:dyDescent="0.25">
      <c r="B16" s="10">
        <v>691923</v>
      </c>
      <c r="C16" s="10" t="s">
        <v>204</v>
      </c>
      <c r="D16" s="10" t="s">
        <v>5</v>
      </c>
      <c r="E16" s="10" t="s">
        <v>201</v>
      </c>
      <c r="F16" s="10" t="s">
        <v>188</v>
      </c>
      <c r="G16" s="10" t="s">
        <v>189</v>
      </c>
      <c r="H16" s="10" t="s">
        <v>194</v>
      </c>
      <c r="I16" s="10" t="s">
        <v>241</v>
      </c>
      <c r="J16" s="11">
        <v>46265</v>
      </c>
      <c r="K16" s="10">
        <f t="shared" ca="1" si="0"/>
        <v>108</v>
      </c>
    </row>
    <row r="17" spans="2:11" x14ac:dyDescent="0.25">
      <c r="B17" s="10">
        <v>691920</v>
      </c>
      <c r="C17" s="10" t="s">
        <v>204</v>
      </c>
      <c r="D17" s="10" t="s">
        <v>5</v>
      </c>
      <c r="E17" s="10" t="s">
        <v>203</v>
      </c>
      <c r="F17" s="10" t="s">
        <v>188</v>
      </c>
      <c r="G17" s="10" t="s">
        <v>189</v>
      </c>
      <c r="H17" s="10" t="s">
        <v>194</v>
      </c>
      <c r="I17" s="10" t="s">
        <v>241</v>
      </c>
      <c r="J17" s="11">
        <v>46265</v>
      </c>
      <c r="K17" s="10">
        <f t="shared" ca="1" si="0"/>
        <v>108</v>
      </c>
    </row>
    <row r="18" spans="2:11" x14ac:dyDescent="0.25">
      <c r="B18" s="10">
        <v>692683</v>
      </c>
      <c r="C18" s="10" t="s">
        <v>242</v>
      </c>
      <c r="D18" s="10" t="s">
        <v>25</v>
      </c>
      <c r="E18" s="10" t="s">
        <v>235</v>
      </c>
      <c r="F18" s="10" t="s">
        <v>188</v>
      </c>
      <c r="G18" s="10" t="s">
        <v>189</v>
      </c>
      <c r="H18" s="10" t="s">
        <v>194</v>
      </c>
      <c r="I18" s="10" t="s">
        <v>243</v>
      </c>
      <c r="J18" s="11">
        <v>46280</v>
      </c>
      <c r="K18" s="10">
        <f t="shared" ca="1" si="0"/>
        <v>123</v>
      </c>
    </row>
    <row r="19" spans="2:11" ht="24" customHeight="1" x14ac:dyDescent="0.25">
      <c r="B19" s="10">
        <v>701675</v>
      </c>
      <c r="C19" s="10" t="s">
        <v>228</v>
      </c>
      <c r="D19" s="10" t="s">
        <v>17</v>
      </c>
      <c r="E19" s="10" t="s">
        <v>187</v>
      </c>
      <c r="F19" s="10" t="s">
        <v>188</v>
      </c>
      <c r="G19" s="10" t="s">
        <v>189</v>
      </c>
      <c r="H19" s="10" t="s">
        <v>194</v>
      </c>
      <c r="I19" s="10" t="s">
        <v>198</v>
      </c>
      <c r="J19" s="11">
        <v>46282</v>
      </c>
      <c r="K19" s="10">
        <f t="shared" ca="1" si="0"/>
        <v>125</v>
      </c>
    </row>
    <row r="20" spans="2:11" ht="24" customHeight="1" x14ac:dyDescent="0.25">
      <c r="B20" s="10">
        <v>664339</v>
      </c>
      <c r="C20" s="10" t="s">
        <v>197</v>
      </c>
      <c r="D20" s="10" t="s">
        <v>17</v>
      </c>
      <c r="E20" s="10" t="s">
        <v>187</v>
      </c>
      <c r="F20" s="10" t="s">
        <v>188</v>
      </c>
      <c r="G20" s="10" t="s">
        <v>189</v>
      </c>
      <c r="H20" s="10" t="s">
        <v>194</v>
      </c>
      <c r="I20" s="10" t="s">
        <v>198</v>
      </c>
      <c r="J20" s="11">
        <v>46282</v>
      </c>
      <c r="K20" s="10">
        <f t="shared" ca="1" si="0"/>
        <v>125</v>
      </c>
    </row>
    <row r="21" spans="2:11" ht="24" customHeight="1" x14ac:dyDescent="0.25">
      <c r="B21" s="10">
        <v>701678</v>
      </c>
      <c r="C21" s="10" t="s">
        <v>186</v>
      </c>
      <c r="D21" s="10" t="s">
        <v>17</v>
      </c>
      <c r="E21" s="10" t="s">
        <v>187</v>
      </c>
      <c r="F21" s="10" t="s">
        <v>188</v>
      </c>
      <c r="G21" s="10" t="s">
        <v>189</v>
      </c>
      <c r="H21" s="10" t="s">
        <v>190</v>
      </c>
      <c r="I21" s="10" t="s">
        <v>191</v>
      </c>
      <c r="J21" s="11">
        <v>46295</v>
      </c>
      <c r="K21" s="10">
        <f t="shared" ca="1" si="0"/>
        <v>138</v>
      </c>
    </row>
  </sheetData>
  <autoFilter ref="B4:K21" xr:uid="{00000000-0009-0000-0000-000003000000}">
    <sortState xmlns:xlrd2="http://schemas.microsoft.com/office/spreadsheetml/2017/richdata2" ref="B5:K21">
      <sortCondition ref="K4:K21"/>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33"/>
  <sheetViews>
    <sheetView zoomScale="70" zoomScaleNormal="70" workbookViewId="0">
      <selection activeCell="B2" sqref="B2"/>
    </sheetView>
  </sheetViews>
  <sheetFormatPr defaultColWidth="8.85546875" defaultRowHeight="15" x14ac:dyDescent="0.25"/>
  <cols>
    <col min="1" max="1" width="2.7109375" style="2" customWidth="1"/>
    <col min="2" max="2" width="12" style="2" customWidth="1"/>
    <col min="3" max="3" width="46.5703125" style="2" customWidth="1"/>
    <col min="4" max="4" width="12.28515625" style="2" customWidth="1"/>
    <col min="5" max="5" width="39.7109375" style="2" customWidth="1"/>
    <col min="6" max="6" width="37.140625" style="2" customWidth="1"/>
    <col min="7" max="7" width="69.28515625" style="2" customWidth="1"/>
    <col min="8" max="8" width="8.85546875" style="2" customWidth="1"/>
    <col min="9" max="16384" width="8.85546875" style="2"/>
  </cols>
  <sheetData>
    <row r="2" spans="2:7" ht="37.5" customHeight="1" thickBot="1" x14ac:dyDescent="0.3">
      <c r="B2" s="45" t="s">
        <v>244</v>
      </c>
    </row>
    <row r="3" spans="2:7" ht="18.600000000000001" customHeight="1" thickBot="1" x14ac:dyDescent="0.3">
      <c r="B3" s="15" t="s">
        <v>245</v>
      </c>
      <c r="C3" s="16" t="s">
        <v>246</v>
      </c>
      <c r="D3" s="16" t="s">
        <v>247</v>
      </c>
      <c r="E3" s="16" t="s">
        <v>248</v>
      </c>
      <c r="F3" s="16" t="s">
        <v>249</v>
      </c>
      <c r="G3" s="17" t="s">
        <v>250</v>
      </c>
    </row>
    <row r="4" spans="2:7" ht="28.9" customHeight="1" x14ac:dyDescent="0.25">
      <c r="B4" s="18" t="s">
        <v>17</v>
      </c>
      <c r="C4" s="19" t="s">
        <v>251</v>
      </c>
      <c r="D4" s="20" t="s">
        <v>252</v>
      </c>
      <c r="E4" s="21"/>
      <c r="F4" s="21"/>
      <c r="G4" s="22" t="s">
        <v>253</v>
      </c>
    </row>
    <row r="5" spans="2:7" ht="28.9" customHeight="1" x14ac:dyDescent="0.25">
      <c r="B5" s="23" t="s">
        <v>17</v>
      </c>
      <c r="C5" s="24" t="s">
        <v>254</v>
      </c>
      <c r="D5" s="25" t="s">
        <v>255</v>
      </c>
      <c r="G5" s="26" t="s">
        <v>253</v>
      </c>
    </row>
    <row r="6" spans="2:7" ht="28.9" customHeight="1" x14ac:dyDescent="0.25">
      <c r="B6" s="23" t="s">
        <v>17</v>
      </c>
      <c r="C6" s="24" t="s">
        <v>256</v>
      </c>
      <c r="D6" s="27" t="s">
        <v>257</v>
      </c>
      <c r="E6" s="2" t="s">
        <v>258</v>
      </c>
      <c r="F6" s="24" t="s">
        <v>259</v>
      </c>
      <c r="G6" s="26" t="s">
        <v>253</v>
      </c>
    </row>
    <row r="7" spans="2:7" ht="43.15" customHeight="1" x14ac:dyDescent="0.25">
      <c r="B7" s="23" t="s">
        <v>17</v>
      </c>
      <c r="C7" s="24" t="s">
        <v>260</v>
      </c>
      <c r="D7" s="25" t="s">
        <v>255</v>
      </c>
      <c r="E7" s="24" t="s">
        <v>261</v>
      </c>
      <c r="F7" s="24" t="s">
        <v>262</v>
      </c>
      <c r="G7" s="26" t="s">
        <v>253</v>
      </c>
    </row>
    <row r="8" spans="2:7" ht="57.6" customHeight="1" x14ac:dyDescent="0.25">
      <c r="B8" s="28" t="s">
        <v>17</v>
      </c>
      <c r="C8" s="29" t="s">
        <v>263</v>
      </c>
      <c r="D8" s="30" t="s">
        <v>252</v>
      </c>
      <c r="E8" s="31"/>
      <c r="F8" s="31"/>
      <c r="G8" s="32" t="s">
        <v>264</v>
      </c>
    </row>
    <row r="9" spans="2:7" ht="57.6" customHeight="1" x14ac:dyDescent="0.25">
      <c r="B9" s="23" t="s">
        <v>17</v>
      </c>
      <c r="C9" s="24" t="s">
        <v>265</v>
      </c>
      <c r="D9" s="25" t="s">
        <v>255</v>
      </c>
      <c r="G9" s="26" t="s">
        <v>264</v>
      </c>
    </row>
    <row r="10" spans="2:7" ht="57.6" customHeight="1" x14ac:dyDescent="0.25">
      <c r="B10" s="23" t="s">
        <v>17</v>
      </c>
      <c r="C10" s="24" t="s">
        <v>266</v>
      </c>
      <c r="D10" s="27" t="s">
        <v>257</v>
      </c>
      <c r="E10" s="24" t="s">
        <v>267</v>
      </c>
      <c r="F10" s="24" t="s">
        <v>259</v>
      </c>
      <c r="G10" s="26" t="s">
        <v>264</v>
      </c>
    </row>
    <row r="11" spans="2:7" ht="58.15" customHeight="1" thickBot="1" x14ac:dyDescent="0.3">
      <c r="B11" s="33" t="s">
        <v>17</v>
      </c>
      <c r="C11" s="34" t="s">
        <v>268</v>
      </c>
      <c r="D11" s="35" t="s">
        <v>255</v>
      </c>
      <c r="E11" s="36"/>
      <c r="F11" s="36"/>
      <c r="G11" s="37" t="s">
        <v>264</v>
      </c>
    </row>
    <row r="12" spans="2:7" ht="43.15" customHeight="1" x14ac:dyDescent="0.25">
      <c r="B12" s="18" t="s">
        <v>22</v>
      </c>
      <c r="C12" s="19" t="s">
        <v>269</v>
      </c>
      <c r="D12" s="38" t="s">
        <v>257</v>
      </c>
      <c r="E12" s="19" t="s">
        <v>270</v>
      </c>
      <c r="F12" s="19" t="s">
        <v>271</v>
      </c>
      <c r="G12" s="22" t="s">
        <v>272</v>
      </c>
    </row>
    <row r="13" spans="2:7" ht="43.9" customHeight="1" thickBot="1" x14ac:dyDescent="0.3">
      <c r="B13" s="33" t="s">
        <v>22</v>
      </c>
      <c r="C13" s="34" t="s">
        <v>273</v>
      </c>
      <c r="D13" s="35" t="s">
        <v>255</v>
      </c>
      <c r="E13" s="34" t="s">
        <v>274</v>
      </c>
      <c r="F13" s="34" t="s">
        <v>259</v>
      </c>
      <c r="G13" s="37" t="s">
        <v>272</v>
      </c>
    </row>
    <row r="14" spans="2:7" ht="29.45" customHeight="1" thickBot="1" x14ac:dyDescent="0.3">
      <c r="B14" s="39" t="s">
        <v>22</v>
      </c>
      <c r="C14" s="40" t="s">
        <v>275</v>
      </c>
      <c r="D14" s="41" t="s">
        <v>255</v>
      </c>
      <c r="E14" s="40" t="s">
        <v>276</v>
      </c>
      <c r="F14" s="42" t="s">
        <v>277</v>
      </c>
      <c r="G14" s="43" t="s">
        <v>278</v>
      </c>
    </row>
    <row r="15" spans="2:7" ht="28.9" customHeight="1" x14ac:dyDescent="0.25">
      <c r="B15" s="18" t="s">
        <v>22</v>
      </c>
      <c r="C15" s="19" t="s">
        <v>279</v>
      </c>
      <c r="D15" s="20" t="s">
        <v>255</v>
      </c>
      <c r="E15" s="19" t="s">
        <v>280</v>
      </c>
      <c r="F15" s="19" t="s">
        <v>259</v>
      </c>
      <c r="G15" s="22" t="s">
        <v>281</v>
      </c>
    </row>
    <row r="16" spans="2:7" ht="28.9" customHeight="1" x14ac:dyDescent="0.25">
      <c r="B16" s="23" t="s">
        <v>22</v>
      </c>
      <c r="C16" s="24" t="s">
        <v>282</v>
      </c>
      <c r="D16" s="25" t="s">
        <v>255</v>
      </c>
      <c r="E16" s="24" t="s">
        <v>283</v>
      </c>
      <c r="G16" s="26" t="s">
        <v>281</v>
      </c>
    </row>
    <row r="17" spans="2:7" ht="29.45" customHeight="1" thickBot="1" x14ac:dyDescent="0.3">
      <c r="B17" s="33" t="s">
        <v>22</v>
      </c>
      <c r="C17" s="34" t="s">
        <v>284</v>
      </c>
      <c r="D17" s="35" t="s">
        <v>255</v>
      </c>
      <c r="E17" s="34" t="s">
        <v>285</v>
      </c>
      <c r="F17" s="36"/>
      <c r="G17" s="37" t="s">
        <v>281</v>
      </c>
    </row>
    <row r="18" spans="2:7" ht="137.25" customHeight="1" x14ac:dyDescent="0.25">
      <c r="B18" s="18" t="s">
        <v>25</v>
      </c>
      <c r="C18" s="21" t="s">
        <v>286</v>
      </c>
      <c r="D18" s="38" t="s">
        <v>257</v>
      </c>
      <c r="E18" s="19" t="s">
        <v>287</v>
      </c>
      <c r="F18" s="19" t="s">
        <v>288</v>
      </c>
      <c r="G18" s="22" t="s">
        <v>289</v>
      </c>
    </row>
    <row r="19" spans="2:7" ht="81" customHeight="1" thickBot="1" x14ac:dyDescent="0.3">
      <c r="B19" s="23" t="s">
        <v>25</v>
      </c>
      <c r="C19" s="2" t="s">
        <v>290</v>
      </c>
      <c r="D19" s="25" t="s">
        <v>255</v>
      </c>
      <c r="E19" s="24" t="s">
        <v>291</v>
      </c>
      <c r="F19" s="24" t="s">
        <v>292</v>
      </c>
      <c r="G19" s="26" t="s">
        <v>293</v>
      </c>
    </row>
    <row r="20" spans="2:7" ht="42.75" customHeight="1" x14ac:dyDescent="0.25">
      <c r="B20" s="18" t="s">
        <v>11</v>
      </c>
      <c r="C20" s="21" t="s">
        <v>294</v>
      </c>
      <c r="D20" s="20" t="s">
        <v>255</v>
      </c>
      <c r="E20" s="19" t="s">
        <v>295</v>
      </c>
      <c r="F20" s="21"/>
      <c r="G20" s="44"/>
    </row>
    <row r="21" spans="2:7" ht="80.25" customHeight="1" thickBot="1" x14ac:dyDescent="0.3">
      <c r="B21" s="23" t="s">
        <v>11</v>
      </c>
      <c r="C21" s="2" t="s">
        <v>296</v>
      </c>
      <c r="D21" s="27" t="s">
        <v>257</v>
      </c>
      <c r="E21" s="24" t="s">
        <v>297</v>
      </c>
      <c r="F21" s="24" t="s">
        <v>298</v>
      </c>
      <c r="G21" s="26" t="s">
        <v>299</v>
      </c>
    </row>
    <row r="22" spans="2:7" ht="99" customHeight="1" x14ac:dyDescent="0.25">
      <c r="B22" s="18" t="s">
        <v>20</v>
      </c>
      <c r="C22" s="19" t="s">
        <v>300</v>
      </c>
      <c r="D22" s="38" t="s">
        <v>257</v>
      </c>
      <c r="E22" s="21" t="s">
        <v>301</v>
      </c>
      <c r="F22" s="19" t="s">
        <v>302</v>
      </c>
      <c r="G22" s="22" t="s">
        <v>303</v>
      </c>
    </row>
    <row r="23" spans="2:7" ht="86.45" customHeight="1" x14ac:dyDescent="0.25">
      <c r="B23" s="23" t="s">
        <v>20</v>
      </c>
      <c r="C23" s="24" t="s">
        <v>300</v>
      </c>
      <c r="D23" s="25" t="s">
        <v>255</v>
      </c>
      <c r="E23" s="2" t="s">
        <v>304</v>
      </c>
      <c r="F23" s="24" t="s">
        <v>305</v>
      </c>
      <c r="G23" s="26" t="s">
        <v>303</v>
      </c>
    </row>
    <row r="24" spans="2:7" ht="104.25" customHeight="1" x14ac:dyDescent="0.25">
      <c r="B24" s="23" t="s">
        <v>20</v>
      </c>
      <c r="C24" s="24" t="s">
        <v>306</v>
      </c>
      <c r="D24" s="27" t="s">
        <v>257</v>
      </c>
      <c r="E24" s="24" t="s">
        <v>307</v>
      </c>
      <c r="F24" s="24" t="s">
        <v>308</v>
      </c>
      <c r="G24" s="26" t="s">
        <v>303</v>
      </c>
    </row>
    <row r="25" spans="2:7" ht="46.5" customHeight="1" thickBot="1" x14ac:dyDescent="0.3">
      <c r="B25" s="23" t="s">
        <v>20</v>
      </c>
      <c r="C25" s="24" t="s">
        <v>309</v>
      </c>
      <c r="D25" s="27" t="s">
        <v>257</v>
      </c>
      <c r="E25" s="2" t="s">
        <v>310</v>
      </c>
      <c r="F25" s="2" t="s">
        <v>311</v>
      </c>
      <c r="G25" s="46" t="s">
        <v>312</v>
      </c>
    </row>
    <row r="26" spans="2:7" ht="100.9" customHeight="1" x14ac:dyDescent="0.25">
      <c r="B26" s="18" t="s">
        <v>313</v>
      </c>
      <c r="C26" s="19" t="s">
        <v>314</v>
      </c>
      <c r="D26" s="20" t="s">
        <v>255</v>
      </c>
      <c r="E26" s="19" t="s">
        <v>315</v>
      </c>
      <c r="F26" s="74" t="s">
        <v>316</v>
      </c>
      <c r="G26" s="22" t="s">
        <v>317</v>
      </c>
    </row>
    <row r="27" spans="2:7" ht="43.15" customHeight="1" x14ac:dyDescent="0.25">
      <c r="B27" s="23" t="s">
        <v>313</v>
      </c>
      <c r="C27" s="24" t="s">
        <v>318</v>
      </c>
      <c r="D27" s="25" t="s">
        <v>255</v>
      </c>
      <c r="E27" s="24" t="s">
        <v>319</v>
      </c>
      <c r="F27" s="75"/>
      <c r="G27" s="26" t="s">
        <v>320</v>
      </c>
    </row>
    <row r="28" spans="2:7" ht="43.9" customHeight="1" thickBot="1" x14ac:dyDescent="0.3">
      <c r="B28" s="23" t="s">
        <v>313</v>
      </c>
      <c r="C28" s="24" t="s">
        <v>318</v>
      </c>
      <c r="D28" s="25" t="s">
        <v>255</v>
      </c>
      <c r="E28" s="24" t="s">
        <v>321</v>
      </c>
      <c r="F28" s="75"/>
      <c r="G28" s="26" t="s">
        <v>320</v>
      </c>
    </row>
    <row r="29" spans="2:7" ht="195" customHeight="1" x14ac:dyDescent="0.25">
      <c r="B29" s="18" t="s">
        <v>5</v>
      </c>
      <c r="C29" s="21" t="s">
        <v>322</v>
      </c>
      <c r="D29" s="20" t="s">
        <v>252</v>
      </c>
      <c r="E29" s="19" t="s">
        <v>323</v>
      </c>
      <c r="F29" s="19" t="s">
        <v>324</v>
      </c>
      <c r="G29" s="22" t="s">
        <v>325</v>
      </c>
    </row>
    <row r="30" spans="2:7" ht="188.45" customHeight="1" x14ac:dyDescent="0.25">
      <c r="B30" s="23" t="s">
        <v>5</v>
      </c>
      <c r="C30" s="2" t="s">
        <v>326</v>
      </c>
      <c r="D30" s="25" t="s">
        <v>252</v>
      </c>
      <c r="E30" s="24" t="s">
        <v>327</v>
      </c>
      <c r="F30" s="24" t="s">
        <v>324</v>
      </c>
      <c r="G30" s="26" t="s">
        <v>328</v>
      </c>
    </row>
    <row r="31" spans="2:7" ht="193.9" customHeight="1" x14ac:dyDescent="0.25">
      <c r="B31" s="23" t="s">
        <v>5</v>
      </c>
      <c r="C31" s="2" t="s">
        <v>329</v>
      </c>
      <c r="D31" s="27" t="s">
        <v>257</v>
      </c>
      <c r="E31" s="24" t="s">
        <v>330</v>
      </c>
      <c r="F31" s="24" t="s">
        <v>331</v>
      </c>
      <c r="G31" s="26" t="s">
        <v>332</v>
      </c>
    </row>
    <row r="32" spans="2:7" ht="30.6" customHeight="1" x14ac:dyDescent="0.25">
      <c r="B32" s="23" t="s">
        <v>5</v>
      </c>
      <c r="C32" s="2" t="s">
        <v>333</v>
      </c>
      <c r="D32" s="25" t="s">
        <v>252</v>
      </c>
      <c r="F32" s="24" t="s">
        <v>324</v>
      </c>
      <c r="G32" s="26" t="s">
        <v>334</v>
      </c>
    </row>
    <row r="33" spans="2:7" ht="87" customHeight="1" thickBot="1" x14ac:dyDescent="0.3">
      <c r="B33" s="33" t="s">
        <v>5</v>
      </c>
      <c r="C33" s="36" t="s">
        <v>335</v>
      </c>
      <c r="D33" s="35" t="s">
        <v>252</v>
      </c>
      <c r="E33" s="36"/>
      <c r="F33" s="34" t="s">
        <v>324</v>
      </c>
      <c r="G33" s="37" t="s">
        <v>336</v>
      </c>
    </row>
  </sheetData>
  <autoFilter ref="B3:G26" xr:uid="{00000000-0009-0000-0000-000004000000}"/>
  <mergeCells count="1">
    <mergeCell ref="F26:F2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S14"/>
  <sheetViews>
    <sheetView tabSelected="1" topLeftCell="A3" workbookViewId="0">
      <selection activeCell="F7" sqref="F7"/>
    </sheetView>
  </sheetViews>
  <sheetFormatPr defaultRowHeight="15" x14ac:dyDescent="0.25"/>
  <cols>
    <col min="2" max="2" width="12" customWidth="1"/>
    <col min="3" max="3" width="57.140625" customWidth="1"/>
    <col min="4" max="4" width="13.7109375" customWidth="1"/>
    <col min="5" max="5" width="14.28515625" customWidth="1"/>
    <col min="6" max="7" width="19.28515625" customWidth="1"/>
    <col min="8" max="8" width="15" customWidth="1"/>
    <col min="9" max="9" width="11.85546875" customWidth="1"/>
    <col min="10" max="10" width="10.7109375" customWidth="1"/>
    <col min="11" max="11" width="9.85546875" customWidth="1"/>
    <col min="12" max="13" width="10.5703125" customWidth="1"/>
    <col min="14" max="14" width="7.85546875" customWidth="1"/>
    <col min="15" max="15" width="62.42578125" customWidth="1"/>
    <col min="16" max="16" width="45" customWidth="1"/>
    <col min="18" max="19" width="9.42578125" bestFit="1" customWidth="1"/>
  </cols>
  <sheetData>
    <row r="2" spans="2:19" ht="21" customHeight="1" x14ac:dyDescent="0.35">
      <c r="B2" s="67" t="s">
        <v>337</v>
      </c>
      <c r="C2" s="67"/>
      <c r="D2" s="67"/>
      <c r="E2" s="67"/>
    </row>
    <row r="4" spans="2:19" ht="43.15" customHeight="1" x14ac:dyDescent="0.25">
      <c r="B4" s="84" t="s">
        <v>179</v>
      </c>
      <c r="C4" s="84" t="s">
        <v>433</v>
      </c>
      <c r="D4" s="85" t="s">
        <v>421</v>
      </c>
      <c r="E4" s="85" t="s">
        <v>422</v>
      </c>
      <c r="F4" s="80" t="s">
        <v>421</v>
      </c>
      <c r="G4" s="65" t="s">
        <v>422</v>
      </c>
      <c r="H4" s="66" t="s">
        <v>338</v>
      </c>
      <c r="I4" s="66" t="s">
        <v>339</v>
      </c>
      <c r="J4" s="66" t="s">
        <v>340</v>
      </c>
      <c r="K4" s="66" t="s">
        <v>341</v>
      </c>
      <c r="L4" s="66" t="s">
        <v>342</v>
      </c>
      <c r="M4" s="66" t="s">
        <v>343</v>
      </c>
      <c r="N4" s="66" t="s">
        <v>344</v>
      </c>
      <c r="O4" s="65" t="s">
        <v>345</v>
      </c>
      <c r="P4" s="65" t="s">
        <v>346</v>
      </c>
    </row>
    <row r="5" spans="2:19" ht="32.25" customHeight="1" x14ac:dyDescent="0.25">
      <c r="B5" s="81" t="s">
        <v>5</v>
      </c>
      <c r="C5" s="81" t="s">
        <v>423</v>
      </c>
      <c r="D5" s="82"/>
      <c r="E5" s="81"/>
      <c r="F5" s="76" t="s">
        <v>347</v>
      </c>
      <c r="G5" s="48" t="str">
        <f>+F5</f>
        <v>ALERTA</v>
      </c>
      <c r="H5" s="52">
        <v>0.77</v>
      </c>
      <c r="I5" s="53" t="s">
        <v>348</v>
      </c>
      <c r="J5" s="54">
        <v>1</v>
      </c>
      <c r="K5" s="53" t="s">
        <v>348</v>
      </c>
      <c r="L5" s="54">
        <v>1.01</v>
      </c>
      <c r="M5" s="51" t="s">
        <v>348</v>
      </c>
      <c r="N5" s="49">
        <v>2</v>
      </c>
      <c r="O5" s="47" t="s">
        <v>349</v>
      </c>
      <c r="P5" s="47" t="s">
        <v>350</v>
      </c>
    </row>
    <row r="6" spans="2:19" ht="32.25" customHeight="1" x14ac:dyDescent="0.25">
      <c r="B6" s="81" t="s">
        <v>11</v>
      </c>
      <c r="C6" s="81" t="s">
        <v>424</v>
      </c>
      <c r="D6" s="81"/>
      <c r="E6" s="82"/>
      <c r="F6" s="77" t="s">
        <v>351</v>
      </c>
      <c r="G6" s="50" t="str">
        <f>+F6</f>
        <v>SATISFACTORIO</v>
      </c>
      <c r="H6" s="56">
        <v>0.97</v>
      </c>
      <c r="I6" s="53" t="s">
        <v>348</v>
      </c>
      <c r="J6" s="54">
        <v>0.95</v>
      </c>
      <c r="K6" s="53" t="s">
        <v>348</v>
      </c>
      <c r="L6" s="54">
        <v>1.05</v>
      </c>
      <c r="M6" s="55">
        <v>6</v>
      </c>
      <c r="N6" s="49">
        <v>3</v>
      </c>
      <c r="O6" s="47" t="s">
        <v>352</v>
      </c>
      <c r="P6" s="47" t="s">
        <v>348</v>
      </c>
    </row>
    <row r="7" spans="2:19" ht="32.25" customHeight="1" x14ac:dyDescent="0.25">
      <c r="B7" s="81" t="s">
        <v>20</v>
      </c>
      <c r="C7" s="81" t="s">
        <v>425</v>
      </c>
      <c r="D7" s="81"/>
      <c r="E7" s="81"/>
      <c r="F7" s="77" t="s">
        <v>351</v>
      </c>
      <c r="G7" s="50" t="str">
        <f t="shared" ref="G7:G14" si="0">+F7</f>
        <v>SATISFACTORIO</v>
      </c>
      <c r="H7" s="56">
        <v>0.65000000000000191</v>
      </c>
      <c r="I7" s="57">
        <v>0.55202837426136353</v>
      </c>
      <c r="J7" s="54">
        <v>0.98070203221697061</v>
      </c>
      <c r="K7" s="54">
        <v>0.99829990031034122</v>
      </c>
      <c r="L7" s="54">
        <v>1.0760758704453901</v>
      </c>
      <c r="M7" s="51" t="s">
        <v>348</v>
      </c>
      <c r="N7" s="49">
        <v>2</v>
      </c>
      <c r="O7" s="47" t="s">
        <v>353</v>
      </c>
      <c r="P7" s="47" t="s">
        <v>354</v>
      </c>
    </row>
    <row r="8" spans="2:19" ht="32.25" customHeight="1" x14ac:dyDescent="0.25">
      <c r="B8" s="81" t="s">
        <v>25</v>
      </c>
      <c r="C8" s="81" t="s">
        <v>426</v>
      </c>
      <c r="D8" s="81"/>
      <c r="E8" s="81"/>
      <c r="F8" s="77" t="s">
        <v>351</v>
      </c>
      <c r="G8" s="50" t="str">
        <f t="shared" si="0"/>
        <v>SATISFACTORIO</v>
      </c>
      <c r="H8" s="58">
        <v>0.04</v>
      </c>
      <c r="I8" s="54">
        <v>1.39</v>
      </c>
      <c r="J8" s="54">
        <v>1.39</v>
      </c>
      <c r="K8" s="54">
        <v>1</v>
      </c>
      <c r="L8" s="54">
        <v>1</v>
      </c>
      <c r="M8" s="51" t="s">
        <v>348</v>
      </c>
      <c r="N8" s="49">
        <v>2</v>
      </c>
      <c r="O8" s="47" t="s">
        <v>355</v>
      </c>
      <c r="P8" s="47" t="s">
        <v>356</v>
      </c>
    </row>
    <row r="9" spans="2:19" ht="32.25" customHeight="1" x14ac:dyDescent="0.25">
      <c r="B9" s="81" t="s">
        <v>17</v>
      </c>
      <c r="C9" s="81" t="s">
        <v>427</v>
      </c>
      <c r="D9" s="81"/>
      <c r="E9" s="81"/>
      <c r="F9" s="76" t="s">
        <v>347</v>
      </c>
      <c r="G9" s="50" t="s">
        <v>351</v>
      </c>
      <c r="H9" s="56">
        <v>0.65</v>
      </c>
      <c r="I9" s="53" t="s">
        <v>348</v>
      </c>
      <c r="J9" s="57">
        <v>0.75</v>
      </c>
      <c r="K9" s="53" t="s">
        <v>348</v>
      </c>
      <c r="L9" s="57">
        <v>0.74</v>
      </c>
      <c r="M9" s="51" t="s">
        <v>348</v>
      </c>
      <c r="N9" s="49">
        <v>2</v>
      </c>
      <c r="O9" s="47" t="s">
        <v>357</v>
      </c>
      <c r="P9" s="47" t="s">
        <v>358</v>
      </c>
    </row>
    <row r="10" spans="2:19" ht="32.25" customHeight="1" x14ac:dyDescent="0.25">
      <c r="B10" s="81" t="s">
        <v>22</v>
      </c>
      <c r="C10" s="81" t="s">
        <v>428</v>
      </c>
      <c r="D10" s="81"/>
      <c r="E10" s="81"/>
      <c r="F10" s="78" t="s">
        <v>359</v>
      </c>
      <c r="G10" s="60" t="str">
        <f t="shared" si="0"/>
        <v>PROBLEMA</v>
      </c>
      <c r="H10" s="56">
        <v>0.38000000000000012</v>
      </c>
      <c r="I10" s="59">
        <v>3.2321905146600778E-2</v>
      </c>
      <c r="J10" s="57">
        <v>0.4608036086469921</v>
      </c>
      <c r="K10" s="54">
        <v>1.129574230040155</v>
      </c>
      <c r="L10" s="57">
        <v>2.737091349830477</v>
      </c>
      <c r="M10" s="51" t="s">
        <v>348</v>
      </c>
      <c r="N10" s="49">
        <v>2</v>
      </c>
      <c r="O10" s="47" t="s">
        <v>360</v>
      </c>
      <c r="P10" s="47" t="s">
        <v>361</v>
      </c>
    </row>
    <row r="11" spans="2:19" ht="32.25" customHeight="1" x14ac:dyDescent="0.25">
      <c r="B11" s="81" t="s">
        <v>14</v>
      </c>
      <c r="C11" s="81" t="s">
        <v>429</v>
      </c>
      <c r="D11" s="81"/>
      <c r="E11" s="81"/>
      <c r="F11" s="77" t="s">
        <v>351</v>
      </c>
      <c r="G11" s="50" t="str">
        <f t="shared" si="0"/>
        <v>SATISFACTORIO</v>
      </c>
      <c r="H11" s="61">
        <v>1</v>
      </c>
      <c r="I11" s="53" t="s">
        <v>348</v>
      </c>
      <c r="J11" s="54">
        <v>0.95</v>
      </c>
      <c r="K11" s="53" t="s">
        <v>348</v>
      </c>
      <c r="L11" s="54">
        <v>0.9</v>
      </c>
      <c r="M11" s="49">
        <v>3</v>
      </c>
      <c r="N11" s="49">
        <v>3</v>
      </c>
      <c r="O11" s="47" t="s">
        <v>352</v>
      </c>
      <c r="P11" s="47" t="s">
        <v>348</v>
      </c>
    </row>
    <row r="12" spans="2:19" ht="32.25" customHeight="1" x14ac:dyDescent="0.25">
      <c r="B12" s="81" t="s">
        <v>41</v>
      </c>
      <c r="C12" s="81" t="s">
        <v>430</v>
      </c>
      <c r="D12" s="81"/>
      <c r="E12" s="81"/>
      <c r="F12" s="76" t="s">
        <v>347</v>
      </c>
      <c r="G12" s="50" t="s">
        <v>351</v>
      </c>
      <c r="H12" s="48"/>
      <c r="I12" s="48"/>
      <c r="J12" s="48"/>
      <c r="K12" s="48"/>
      <c r="L12" s="48"/>
      <c r="M12" s="48"/>
      <c r="N12" s="48"/>
      <c r="O12" s="62" t="s">
        <v>362</v>
      </c>
      <c r="P12" s="47" t="s">
        <v>363</v>
      </c>
    </row>
    <row r="13" spans="2:19" ht="32.25" customHeight="1" x14ac:dyDescent="0.25">
      <c r="B13" s="81" t="s">
        <v>364</v>
      </c>
      <c r="C13" s="81" t="s">
        <v>431</v>
      </c>
      <c r="D13" s="83" t="s">
        <v>348</v>
      </c>
      <c r="E13" s="83" t="s">
        <v>348</v>
      </c>
      <c r="F13" s="79" t="s">
        <v>365</v>
      </c>
      <c r="G13" s="63" t="str">
        <f t="shared" si="0"/>
        <v>No indica</v>
      </c>
      <c r="H13" s="63"/>
      <c r="I13" s="63"/>
      <c r="J13" s="63"/>
      <c r="K13" s="63"/>
      <c r="L13" s="63"/>
      <c r="M13" s="63"/>
      <c r="N13" s="63"/>
      <c r="O13" s="62" t="s">
        <v>366</v>
      </c>
      <c r="P13" s="47" t="s">
        <v>363</v>
      </c>
    </row>
    <row r="14" spans="2:19" ht="32.25" customHeight="1" x14ac:dyDescent="0.25">
      <c r="B14" s="81" t="s">
        <v>58</v>
      </c>
      <c r="C14" s="81" t="s">
        <v>432</v>
      </c>
      <c r="D14" s="81"/>
      <c r="E14" s="81"/>
      <c r="F14" s="77" t="s">
        <v>351</v>
      </c>
      <c r="G14" s="50" t="str">
        <f t="shared" si="0"/>
        <v>SATISFACTORIO</v>
      </c>
      <c r="H14" s="50"/>
      <c r="I14" s="50"/>
      <c r="J14" s="50"/>
      <c r="K14" s="50"/>
      <c r="L14" s="50"/>
      <c r="M14" s="50"/>
      <c r="N14" s="50"/>
      <c r="O14" s="62" t="s">
        <v>367</v>
      </c>
      <c r="P14" s="47" t="s">
        <v>368</v>
      </c>
      <c r="R14" s="64"/>
      <c r="S14" s="64"/>
    </row>
  </sheetData>
  <pageMargins left="0.7" right="0.7" top="0.75" bottom="0.75" header="0.3" footer="0.3"/>
  <pageSetup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E34"/>
  <sheetViews>
    <sheetView topLeftCell="A10" workbookViewId="0">
      <selection activeCell="A35" sqref="A35"/>
    </sheetView>
  </sheetViews>
  <sheetFormatPr defaultRowHeight="15" x14ac:dyDescent="0.25"/>
  <cols>
    <col min="1" max="1" width="3.7109375" customWidth="1"/>
    <col min="2" max="2" width="15" bestFit="1" customWidth="1"/>
    <col min="3" max="3" width="15" customWidth="1"/>
    <col min="4" max="4" width="36.42578125" customWidth="1"/>
    <col min="5" max="5" width="42" customWidth="1"/>
  </cols>
  <sheetData>
    <row r="2" spans="2:5" x14ac:dyDescent="0.25">
      <c r="B2" t="s">
        <v>369</v>
      </c>
      <c r="C2" t="s">
        <v>370</v>
      </c>
      <c r="D2" t="s">
        <v>1</v>
      </c>
      <c r="E2" t="s">
        <v>371</v>
      </c>
    </row>
    <row r="3" spans="2:5" x14ac:dyDescent="0.25">
      <c r="B3" t="s">
        <v>372</v>
      </c>
      <c r="C3" t="s">
        <v>373</v>
      </c>
      <c r="D3" t="s">
        <v>5</v>
      </c>
      <c r="E3" t="s">
        <v>374</v>
      </c>
    </row>
    <row r="4" spans="2:5" x14ac:dyDescent="0.25">
      <c r="B4" t="s">
        <v>372</v>
      </c>
      <c r="C4" t="s">
        <v>373</v>
      </c>
      <c r="D4" t="s">
        <v>5</v>
      </c>
      <c r="E4" t="s">
        <v>375</v>
      </c>
    </row>
    <row r="5" spans="2:5" x14ac:dyDescent="0.25">
      <c r="B5" t="s">
        <v>372</v>
      </c>
      <c r="C5" t="s">
        <v>373</v>
      </c>
      <c r="D5" t="s">
        <v>5</v>
      </c>
      <c r="E5" t="s">
        <v>376</v>
      </c>
    </row>
    <row r="6" spans="2:5" x14ac:dyDescent="0.25">
      <c r="B6" t="s">
        <v>372</v>
      </c>
      <c r="C6" t="s">
        <v>373</v>
      </c>
      <c r="D6" t="s">
        <v>5</v>
      </c>
      <c r="E6" t="s">
        <v>377</v>
      </c>
    </row>
    <row r="7" spans="2:5" x14ac:dyDescent="0.25">
      <c r="B7" t="s">
        <v>372</v>
      </c>
      <c r="C7" t="s">
        <v>373</v>
      </c>
      <c r="D7" t="s">
        <v>5</v>
      </c>
      <c r="E7" t="s">
        <v>378</v>
      </c>
    </row>
    <row r="8" spans="2:5" x14ac:dyDescent="0.25">
      <c r="B8" t="s">
        <v>372</v>
      </c>
      <c r="C8" t="s">
        <v>373</v>
      </c>
      <c r="D8" t="s">
        <v>5</v>
      </c>
      <c r="E8" t="s">
        <v>379</v>
      </c>
    </row>
    <row r="9" spans="2:5" x14ac:dyDescent="0.25">
      <c r="B9" t="s">
        <v>372</v>
      </c>
      <c r="C9" t="s">
        <v>380</v>
      </c>
      <c r="D9" t="s">
        <v>58</v>
      </c>
      <c r="E9" t="s">
        <v>381</v>
      </c>
    </row>
    <row r="10" spans="2:5" x14ac:dyDescent="0.25">
      <c r="B10" t="s">
        <v>372</v>
      </c>
      <c r="C10" t="s">
        <v>380</v>
      </c>
      <c r="D10" t="s">
        <v>58</v>
      </c>
      <c r="E10" t="s">
        <v>382</v>
      </c>
    </row>
    <row r="11" spans="2:5" x14ac:dyDescent="0.25">
      <c r="B11" t="s">
        <v>372</v>
      </c>
      <c r="C11" t="s">
        <v>380</v>
      </c>
      <c r="D11" t="s">
        <v>58</v>
      </c>
      <c r="E11" t="s">
        <v>383</v>
      </c>
    </row>
    <row r="12" spans="2:5" x14ac:dyDescent="0.25">
      <c r="B12" t="s">
        <v>372</v>
      </c>
      <c r="C12" t="s">
        <v>373</v>
      </c>
      <c r="D12" t="s">
        <v>11</v>
      </c>
      <c r="E12" t="s">
        <v>384</v>
      </c>
    </row>
    <row r="13" spans="2:5" x14ac:dyDescent="0.25">
      <c r="B13" t="s">
        <v>372</v>
      </c>
      <c r="C13" t="s">
        <v>373</v>
      </c>
      <c r="D13" t="s">
        <v>385</v>
      </c>
      <c r="E13" t="s">
        <v>384</v>
      </c>
    </row>
    <row r="14" spans="2:5" x14ac:dyDescent="0.25">
      <c r="B14" t="s">
        <v>372</v>
      </c>
      <c r="C14" t="s">
        <v>380</v>
      </c>
      <c r="D14" t="s">
        <v>41</v>
      </c>
      <c r="E14" t="s">
        <v>386</v>
      </c>
    </row>
    <row r="15" spans="2:5" x14ac:dyDescent="0.25">
      <c r="B15" t="s">
        <v>372</v>
      </c>
      <c r="C15" t="s">
        <v>387</v>
      </c>
      <c r="D15" t="s">
        <v>22</v>
      </c>
      <c r="E15" t="s">
        <v>388</v>
      </c>
    </row>
    <row r="16" spans="2:5" x14ac:dyDescent="0.25">
      <c r="B16" t="s">
        <v>372</v>
      </c>
      <c r="C16" t="s">
        <v>387</v>
      </c>
      <c r="D16" t="s">
        <v>22</v>
      </c>
      <c r="E16" t="s">
        <v>389</v>
      </c>
    </row>
    <row r="17" spans="2:5" x14ac:dyDescent="0.25">
      <c r="B17" t="s">
        <v>372</v>
      </c>
      <c r="C17" t="s">
        <v>387</v>
      </c>
      <c r="D17" t="s">
        <v>22</v>
      </c>
      <c r="E17" t="s">
        <v>390</v>
      </c>
    </row>
    <row r="18" spans="2:5" x14ac:dyDescent="0.25">
      <c r="B18" t="s">
        <v>372</v>
      </c>
      <c r="C18" t="s">
        <v>391</v>
      </c>
      <c r="D18" t="s">
        <v>17</v>
      </c>
      <c r="E18" t="s">
        <v>392</v>
      </c>
    </row>
    <row r="19" spans="2:5" x14ac:dyDescent="0.25">
      <c r="B19" s="14">
        <v>46092</v>
      </c>
      <c r="C19" t="s">
        <v>373</v>
      </c>
      <c r="D19" t="s">
        <v>11</v>
      </c>
      <c r="E19" t="s">
        <v>393</v>
      </c>
    </row>
    <row r="20" spans="2:5" x14ac:dyDescent="0.25">
      <c r="B20" s="14">
        <v>46092</v>
      </c>
      <c r="C20" t="s">
        <v>373</v>
      </c>
      <c r="D20" t="s">
        <v>385</v>
      </c>
      <c r="E20" t="s">
        <v>393</v>
      </c>
    </row>
    <row r="21" spans="2:5" x14ac:dyDescent="0.25">
      <c r="B21" s="14">
        <v>46092</v>
      </c>
      <c r="C21" t="s">
        <v>373</v>
      </c>
      <c r="D21" t="s">
        <v>5</v>
      </c>
      <c r="E21" t="s">
        <v>393</v>
      </c>
    </row>
    <row r="22" spans="2:5" x14ac:dyDescent="0.25">
      <c r="B22" s="14">
        <v>46092</v>
      </c>
      <c r="C22" t="s">
        <v>373</v>
      </c>
      <c r="D22" t="s">
        <v>17</v>
      </c>
      <c r="E22" t="s">
        <v>394</v>
      </c>
    </row>
    <row r="23" spans="2:5" x14ac:dyDescent="0.25">
      <c r="B23" s="14">
        <v>46092</v>
      </c>
      <c r="C23" t="s">
        <v>373</v>
      </c>
      <c r="D23" t="s">
        <v>20</v>
      </c>
      <c r="E23" t="s">
        <v>394</v>
      </c>
    </row>
    <row r="24" spans="2:5" x14ac:dyDescent="0.25">
      <c r="B24" s="14">
        <v>46092</v>
      </c>
      <c r="C24" t="s">
        <v>373</v>
      </c>
      <c r="D24" t="s">
        <v>41</v>
      </c>
      <c r="E24" t="s">
        <v>374</v>
      </c>
    </row>
    <row r="25" spans="2:5" x14ac:dyDescent="0.25">
      <c r="B25" s="14">
        <v>46092</v>
      </c>
      <c r="C25" t="s">
        <v>373</v>
      </c>
      <c r="D25" t="s">
        <v>41</v>
      </c>
      <c r="E25" t="s">
        <v>395</v>
      </c>
    </row>
    <row r="26" spans="2:5" x14ac:dyDescent="0.25">
      <c r="B26" s="14">
        <v>46119</v>
      </c>
      <c r="C26" t="s">
        <v>380</v>
      </c>
      <c r="E26" t="s">
        <v>396</v>
      </c>
    </row>
    <row r="27" spans="2:5" x14ac:dyDescent="0.25">
      <c r="B27" s="14">
        <v>46119</v>
      </c>
      <c r="C27" t="s">
        <v>380</v>
      </c>
      <c r="D27" t="s">
        <v>20</v>
      </c>
      <c r="E27" t="s">
        <v>397</v>
      </c>
    </row>
    <row r="28" spans="2:5" x14ac:dyDescent="0.25">
      <c r="B28" s="14">
        <v>46119</v>
      </c>
      <c r="C28" t="s">
        <v>380</v>
      </c>
      <c r="D28" t="s">
        <v>17</v>
      </c>
      <c r="E28" t="s">
        <v>398</v>
      </c>
    </row>
    <row r="29" spans="2:5" x14ac:dyDescent="0.25">
      <c r="B29" s="14">
        <v>46119</v>
      </c>
      <c r="C29" t="s">
        <v>380</v>
      </c>
      <c r="D29" t="s">
        <v>22</v>
      </c>
      <c r="E29" t="s">
        <v>398</v>
      </c>
    </row>
    <row r="30" spans="2:5" x14ac:dyDescent="0.25">
      <c r="B30" s="14">
        <v>46121</v>
      </c>
      <c r="C30" t="s">
        <v>399</v>
      </c>
      <c r="D30" t="s">
        <v>400</v>
      </c>
      <c r="E30" t="s">
        <v>401</v>
      </c>
    </row>
    <row r="31" spans="2:5" x14ac:dyDescent="0.25">
      <c r="B31" s="14">
        <v>46121</v>
      </c>
      <c r="C31" t="s">
        <v>402</v>
      </c>
      <c r="D31" t="s">
        <v>403</v>
      </c>
      <c r="E31" t="s">
        <v>404</v>
      </c>
    </row>
    <row r="32" spans="2:5" x14ac:dyDescent="0.25">
      <c r="B32" s="14">
        <v>46126</v>
      </c>
      <c r="C32" t="s">
        <v>405</v>
      </c>
      <c r="D32" t="s">
        <v>406</v>
      </c>
      <c r="E32" t="s">
        <v>407</v>
      </c>
    </row>
    <row r="33" spans="2:5" x14ac:dyDescent="0.25">
      <c r="B33" s="14">
        <v>46134</v>
      </c>
      <c r="C33" t="s">
        <v>408</v>
      </c>
      <c r="E33" t="s">
        <v>409</v>
      </c>
    </row>
    <row r="34" spans="2:5" x14ac:dyDescent="0.25">
      <c r="B34" s="14">
        <v>46134</v>
      </c>
      <c r="C34" t="s">
        <v>373</v>
      </c>
      <c r="E34" t="s">
        <v>410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6759E-1E7A-4FBA-BCE7-8747DD03CB19}">
  <dimension ref="B2:D11"/>
  <sheetViews>
    <sheetView workbookViewId="0">
      <selection activeCell="D6" sqref="D6"/>
    </sheetView>
  </sheetViews>
  <sheetFormatPr defaultRowHeight="15" x14ac:dyDescent="0.25"/>
  <sheetData>
    <row r="2" spans="2:4" x14ac:dyDescent="0.25">
      <c r="B2" t="s">
        <v>5</v>
      </c>
      <c r="C2" t="s">
        <v>411</v>
      </c>
      <c r="D2" t="s">
        <v>423</v>
      </c>
    </row>
    <row r="3" spans="2:4" x14ac:dyDescent="0.25">
      <c r="B3" t="s">
        <v>11</v>
      </c>
      <c r="C3" t="s">
        <v>412</v>
      </c>
      <c r="D3" t="s">
        <v>424</v>
      </c>
    </row>
    <row r="4" spans="2:4" x14ac:dyDescent="0.25">
      <c r="B4" t="s">
        <v>20</v>
      </c>
      <c r="C4" t="s">
        <v>413</v>
      </c>
      <c r="D4" t="s">
        <v>425</v>
      </c>
    </row>
    <row r="5" spans="2:4" x14ac:dyDescent="0.25">
      <c r="B5" t="s">
        <v>25</v>
      </c>
      <c r="C5" t="s">
        <v>414</v>
      </c>
      <c r="D5" t="s">
        <v>426</v>
      </c>
    </row>
    <row r="6" spans="2:4" x14ac:dyDescent="0.25">
      <c r="B6" t="s">
        <v>17</v>
      </c>
      <c r="C6" t="s">
        <v>415</v>
      </c>
      <c r="D6" t="s">
        <v>427</v>
      </c>
    </row>
    <row r="7" spans="2:4" x14ac:dyDescent="0.25">
      <c r="B7" t="s">
        <v>22</v>
      </c>
      <c r="C7" t="s">
        <v>416</v>
      </c>
      <c r="D7" t="s">
        <v>428</v>
      </c>
    </row>
    <row r="8" spans="2:4" x14ac:dyDescent="0.25">
      <c r="B8" t="s">
        <v>14</v>
      </c>
      <c r="C8" t="s">
        <v>417</v>
      </c>
      <c r="D8" t="s">
        <v>429</v>
      </c>
    </row>
    <row r="9" spans="2:4" x14ac:dyDescent="0.25">
      <c r="B9" t="s">
        <v>41</v>
      </c>
      <c r="C9" t="s">
        <v>418</v>
      </c>
      <c r="D9" t="s">
        <v>430</v>
      </c>
    </row>
    <row r="10" spans="2:4" x14ac:dyDescent="0.25">
      <c r="B10" t="s">
        <v>364</v>
      </c>
      <c r="C10" t="s">
        <v>420</v>
      </c>
      <c r="D10" t="s">
        <v>431</v>
      </c>
    </row>
    <row r="11" spans="2:4" x14ac:dyDescent="0.25">
      <c r="B11" t="s">
        <v>58</v>
      </c>
      <c r="C11" t="s">
        <v>419</v>
      </c>
      <c r="D11" t="s">
        <v>432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0862990C7B69B4FACED7B33CDEA6B2D" ma:contentTypeVersion="16" ma:contentTypeDescription="Create a new document." ma:contentTypeScope="" ma:versionID="cb2feda0469996778cb97eaa0df7bf34">
  <xsd:schema xmlns:xsd="http://www.w3.org/2001/XMLSchema" xmlns:xs="http://www.w3.org/2001/XMLSchema" xmlns:p="http://schemas.microsoft.com/office/2006/metadata/properties" xmlns:ns2="4ddaf961-75a3-44f9-b9a0-6c4032ed836e" xmlns:ns3="6eb7e908-d61c-4846-9ec9-1ad75cf16705" targetNamespace="http://schemas.microsoft.com/office/2006/metadata/properties" ma:root="true" ma:fieldsID="ee5c23c3434d1001a3ba2f51c828df17" ns2:_="" ns3:_="">
    <xsd:import namespace="4ddaf961-75a3-44f9-b9a0-6c4032ed836e"/>
    <xsd:import namespace="6eb7e908-d61c-4846-9ec9-1ad75cf1670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daf961-75a3-44f9-b9a0-6c4032ed836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ae61f9b1-e23d-4f49-b3d7-56b991556c4b"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eb7e908-d61c-4846-9ec9-1ad75cf16705"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19edeb13-f4ea-4ac7-b3db-1518354dfbdb}" ma:internalName="TaxCatchAll" ma:showField="CatchAllData" ma:web="6eb7e908-d61c-4846-9ec9-1ad75cf167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6eb7e908-d61c-4846-9ec9-1ad75cf16705" xsi:nil="true"/>
    <lcf76f155ced4ddcb4097134ff3c332f xmlns="4ddaf961-75a3-44f9-b9a0-6c4032ed836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86B4DCA-A60A-452A-99AD-03FF95333E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daf961-75a3-44f9-b9a0-6c4032ed836e"/>
    <ds:schemaRef ds:uri="6eb7e908-d61c-4846-9ec9-1ad75cf1670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155E963-344D-4195-BD2C-0A3B31EF9B00}">
  <ds:schemaRefs>
    <ds:schemaRef ds:uri="http://schemas.microsoft.com/sharepoint/v3/contenttype/forms"/>
  </ds:schemaRefs>
</ds:datastoreItem>
</file>

<file path=customXml/itemProps3.xml><?xml version="1.0" encoding="utf-8"?>
<ds:datastoreItem xmlns:ds="http://schemas.openxmlformats.org/officeDocument/2006/customXml" ds:itemID="{1A1C5BB8-2969-4B26-83EB-3E0EFA4C2B46}">
  <ds:schemaRefs>
    <ds:schemaRef ds:uri="http://schemas.microsoft.com/office/2006/metadata/properties"/>
    <ds:schemaRef ds:uri="http://schemas.microsoft.com/office/infopath/2007/PartnerControls"/>
    <ds:schemaRef ds:uri="6eb7e908-d61c-4846-9ec9-1ad75cf16705"/>
    <ds:schemaRef ds:uri="4ddaf961-75a3-44f9-b9a0-6c4032ed836e"/>
  </ds:schemaRefs>
</ds:datastoreItem>
</file>

<file path=docMetadata/LabelInfo.xml><?xml version="1.0" encoding="utf-8"?>
<clbl:labelList xmlns:clbl="http://schemas.microsoft.com/office/2020/mipLabelMetadata">
  <clbl:label id="{9dfb1a05-5f1d-449a-8960-62abcb479e7d}" enabled="0" method="" siteId="{9dfb1a05-5f1d-449a-8960-62abcb479e7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documentos</vt:lpstr>
      <vt:lpstr>equipo</vt:lpstr>
      <vt:lpstr>clausulas vencidas</vt:lpstr>
      <vt:lpstr>clausulas 180 dias</vt:lpstr>
      <vt:lpstr>productos criticos</vt:lpstr>
      <vt:lpstr>PMR</vt:lpstr>
      <vt:lpstr>change log</vt:lpstr>
      <vt:lpstr>datos_ops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2026-05-15T16:57:08Z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