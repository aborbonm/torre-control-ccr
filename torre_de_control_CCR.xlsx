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209" documentId="11_7C5F437705275A81942FA204339861AC582022AA" xr6:coauthVersionLast="47" xr6:coauthVersionMax="47" xr10:uidLastSave="{27E45D66-3C74-4E54-B35D-0E1A82B5C28B}"/>
  <bookViews>
    <workbookView xWindow="40365" yWindow="1020" windowWidth="38700" windowHeight="15285" activeTab="1"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dias'!$B$4:$K$13</definedName>
    <definedName name="_xlnm._FilterDatabase" localSheetId="0" hidden="1">documentos!$A$3:$D$59</definedName>
    <definedName name="_xlnm._FilterDatabase" localSheetId="4" hidden="1">'productos criticos'!$B$3:$G$26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G7" i="6"/>
  <c r="G8" i="6"/>
  <c r="G10" i="6"/>
  <c r="G11" i="6"/>
  <c r="G13" i="6"/>
  <c r="G14" i="6"/>
  <c r="G6" i="6"/>
  <c r="G5" i="6"/>
  <c r="K5" i="4"/>
  <c r="K9" i="4"/>
  <c r="K6" i="4"/>
  <c r="K8" i="4"/>
  <c r="K7" i="4"/>
  <c r="K13" i="4"/>
  <c r="K12" i="4"/>
  <c r="K11" i="4"/>
  <c r="K10" i="4"/>
</calcChain>
</file>

<file path=xl/sharedStrings.xml><?xml version="1.0" encoding="utf-8"?>
<sst xmlns="http://schemas.openxmlformats.org/spreadsheetml/2006/main" count="935" uniqueCount="423">
  <si>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</si>
  <si>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</si>
  <si>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</si>
  <si>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</si>
  <si>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</si>
  <si>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</si>
  <si>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</si>
  <si>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</si>
  <si>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</si>
  <si>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</si>
  <si>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</si>
  <si>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</si>
  <si>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</si>
  <si>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</si>
  <si>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</si>
  <si>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</si>
  <si>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</si>
  <si>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</si>
  <si>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</si>
  <si>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</si>
  <si>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</si>
  <si>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</si>
  <si>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</si>
  <si>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</si>
  <si>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</si>
  <si>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</si>
  <si>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</si>
  <si>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</si>
  <si>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</si>
  <si>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</si>
  <si>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</si>
  <si>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</si>
  <si>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</si>
  <si>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</si>
  <si>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</si>
  <si>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</si>
  <si>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</si>
  <si>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</si>
  <si>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</si>
  <si>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</si>
  <si>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</si>
  <si>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</si>
  <si>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</si>
  <si>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</si>
  <si>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</si>
  <si>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</si>
  <si>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</si>
  <si>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</si>
  <si>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</si>
  <si>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</si>
  <si>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</si>
  <si>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</si>
  <si>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</si>
  <si>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</si>
  <si>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</si>
  <si>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</si>
  <si>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</si>
  <si>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</si>
  <si>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</si>
  <si>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</si>
  <si>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</si>
  <si>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</si>
  <si>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</si>
  <si>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</si>
  <si>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</si>
  <si>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</si>
  <si>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</si>
  <si>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</si>
  <si>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</si>
  <si>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</si>
  <si>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</si>
  <si>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</si>
  <si>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</si>
  <si>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</si>
  <si>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</si>
  <si>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</si>
  <si>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</si>
  <si>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</si>
  <si>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</si>
  <si>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</si>
  <si>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</si>
  <si>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</si>
  <si>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</si>
  <si>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</si>
  <si>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</si>
  <si>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</si>
  <si>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</si>
  <si>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</si>
  <si>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</si>
  <si>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</si>
  <si>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</si>
  <si>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</si>
  <si>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</si>
  <si>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</si>
  <si>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</si>
  <si>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</si>
  <si>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</si>
  <si>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</si>
  <si>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</si>
  <si>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</si>
  <si>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</si>
  <si>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</si>
  <si>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</si>
  <si>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</si>
  <si>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</si>
  <si>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</si>
  <si>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</si>
  <si>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</si>
  <si>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</si>
  <si>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</si>
  <si>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</si>
  <si>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</si>
  <si>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</si>
  <si>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</si>
  <si>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</si>
  <si>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</si>
  <si>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</si>
  <si>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</si>
  <si>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</si>
  <si>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</si>
  <si>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</si>
  <si>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</si>
  <si>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</si>
  <si>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</si>
  <si>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</si>
  <si>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</si>
  <si>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</si>
  <si>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</si>
  <si>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</si>
  <si>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</si>
  <si>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</si>
  <si>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</si>
  <si>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</si>
  <si>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</si>
  <si>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</si>
  <si>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</si>
  <si>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</si>
  <si>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</si>
  <si>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</si>
  <si>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</si>
  <si>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</si>
  <si>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</si>
  <si>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</si>
  <si>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</si>
  <si>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</si>
  <si>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</si>
  <si>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</si>
  <si>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</si>
  <si>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</si>
  <si>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</si>
  <si>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</si>
  <si>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</si>
  <si>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</si>
  <si>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</si>
  <si>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</si>
  <si>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UGALDE VARGAS, DAYANA</t>
  </si>
  <si>
    <t>PASTOR PIMENTEL, SEABELL ANNETTE</t>
  </si>
  <si>
    <t>ARELLANO CASTILLO, RAUL</t>
  </si>
  <si>
    <t>HERNANDEZ, GABRIEL ANTONIO</t>
  </si>
  <si>
    <t xml:space="preserve"> FARINACCIO, ALESSANDRO</t>
  </si>
  <si>
    <t>PORTA GARCIA, RAIMON</t>
  </si>
  <si>
    <t>Analista 1</t>
  </si>
  <si>
    <t>QUIROS SOLANO FERNANDO ANDRES</t>
  </si>
  <si>
    <t>BUSTOS BRENES, JUAN CARLOS</t>
  </si>
  <si>
    <t>BORBON MUNOZ, ALVARO</t>
  </si>
  <si>
    <t>ALVAREZ GONZALEZ OSCAR ANDRES</t>
  </si>
  <si>
    <t>Analista 2</t>
  </si>
  <si>
    <t>VEGA GAMBOA JORGE DANIEL</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</si>
  <si>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</si>
  <si>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</si>
  <si>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</si>
  <si>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</si>
  <si>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</si>
  <si>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</si>
  <si>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</si>
  <si>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</si>
  <si>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</si>
  <si>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</si>
  <si>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</si>
  <si>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</si>
  <si>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</si>
  <si>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</si>
  <si>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</si>
  <si>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</si>
  <si>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</si>
  <si>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</si>
  <si>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</si>
  <si>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</si>
  <si>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</si>
  <si>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</si>
  <si>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</si>
  <si>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</si>
  <si>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</si>
  <si>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</si>
  <si>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</si>
  <si>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</si>
  <si>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</si>
  <si>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</si>
  <si>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</si>
  <si>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</si>
  <si>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</si>
  <si>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</si>
  <si>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</si>
  <si>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</si>
  <si>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</si>
  <si>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</si>
  <si>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</si>
  <si>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</si>
  <si>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</si>
  <si>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</si>
  <si>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</si>
  <si>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</si>
  <si>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</si>
  <si>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</si>
  <si>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</si>
  <si>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</si>
  <si>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</si>
  <si>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</si>
  <si>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</si>
  <si>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</si>
  <si>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</si>
  <si>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</si>
  <si>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</si>
  <si>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</si>
  <si>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</si>
  <si>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</si>
  <si>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</si>
  <si>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</si>
  <si>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</si>
  <si>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</si>
  <si>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</si>
  <si>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</si>
  <si>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</si>
  <si>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</si>
  <si>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</si>
  <si>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</si>
  <si>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</si>
  <si>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</si>
  <si>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</si>
  <si>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</si>
  <si>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Atrasos de 3 meses en obra y adenda no se ha formalizado ante el Banco podrían afectar finalización en 2026</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</si>
  <si>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</si>
  <si>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</si>
  <si>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</si>
  <si>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</si>
  <si>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</si>
  <si>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</si>
  <si>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</si>
  <si>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</si>
  <si>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</si>
  <si>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</si>
  <si>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</si>
  <si>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</si>
  <si>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</si>
  <si>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</si>
  <si>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</si>
  <si>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</si>
  <si>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</si>
  <si>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</si>
  <si>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</si>
  <si>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</si>
  <si>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</si>
  <si>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</si>
  <si>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</si>
  <si>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</si>
  <si>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D+C del Tramo Central RN No.35</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</si>
  <si>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</si>
  <si>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</si>
  <si>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</si>
  <si>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D+C+Mantenimiento por estándares de servicio de Punta Sur RN No.35</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</si>
  <si>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</si>
  <si>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</si>
  <si>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PCR</t>
  </si>
  <si>
    <t>Consultor individual que realice el PCR de operación</t>
  </si>
  <si>
    <t>Ultimos Paquete de Obras (Caminos y Puentes)</t>
  </si>
  <si>
    <t>Construcción de obras por paquetes</t>
  </si>
  <si>
    <t>En trámite compensaciones económicas finales</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</si>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</sst>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5" tint="0.79998168889431442"/>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s>
  <cellStyleXfs count="3">
    <xf numFmtId="0" fontId="0" fillId="0" borderId="0"/>
    <xf numFmtId="9" fontId="7" fillId="0" borderId="0"/>
    <xf numFmtId="0" fontId="1" fillId="0" borderId="0"/>
  </cellStyleXfs>
  <cellXfs count="86">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5" borderId="4" xfId="0" applyFont="1" applyFill="1" applyBorder="1" applyAlignment="1">
      <alignment horizontal="center" vertical="top" wrapText="1" readingOrder="1"/>
    </xf>
    <xf numFmtId="0" fontId="3" fillId="5"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4" borderId="2" xfId="0" applyFill="1" applyBorder="1" applyAlignment="1">
      <alignment horizontal="center"/>
    </xf>
    <xf numFmtId="0" fontId="0" fillId="6"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7"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7"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7"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7"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7"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0" fillId="0" borderId="7" xfId="0" applyBorder="1" applyAlignment="1">
      <alignment horizontal="left" vertical="center"/>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9" fillId="6" borderId="0" xfId="0" applyFont="1" applyFill="1" applyAlignment="1">
      <alignment vertical="center" wrapText="1"/>
    </xf>
    <xf numFmtId="0" fontId="0" fillId="6" borderId="0" xfId="0" applyFill="1"/>
    <xf numFmtId="0" fontId="9" fillId="6" borderId="0" xfId="0" applyFont="1" applyFill="1" applyAlignment="1">
      <alignment horizontal="center" vertical="center" wrapText="1"/>
    </xf>
    <xf numFmtId="0" fontId="17" fillId="6" borderId="0" xfId="0" applyFont="1" applyFill="1" applyAlignment="1">
      <alignment vertical="center" wrapText="1"/>
    </xf>
    <xf numFmtId="0" fontId="17" fillId="6" borderId="0" xfId="0" applyFont="1" applyFill="1" applyAlignment="1">
      <alignment horizontal="center"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3</xdr:col>
      <xdr:colOff>238126</xdr:colOff>
      <xdr:row>5</xdr:row>
      <xdr:rowOff>66675</xdr:rowOff>
    </xdr:from>
    <xdr:to>
      <xdr:col>3</xdr:col>
      <xdr:colOff>523875</xdr:colOff>
      <xdr:row>5</xdr:row>
      <xdr:rowOff>352424</xdr:rowOff>
    </xdr:to>
    <xdr:pic>
      <xdr:nvPicPr>
        <xdr:cNvPr id="3" name="Picture 2" descr="Vectores de Check simbolo - Descarga vectores gratis de gran calidad |  Magnific (anteriormente Freepik)">
          <a:extLst>
            <a:ext uri="{FF2B5EF4-FFF2-40B4-BE49-F238E27FC236}">
              <a16:creationId xmlns:a16="http://schemas.microsoft.com/office/drawing/2014/main" id="{3BDE3B20-EA21-9AB8-F55C-05411F644CB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57826" y="16668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247651</xdr:colOff>
      <xdr:row>6</xdr:row>
      <xdr:rowOff>66675</xdr:rowOff>
    </xdr:from>
    <xdr:to>
      <xdr:col>3</xdr:col>
      <xdr:colOff>533400</xdr:colOff>
      <xdr:row>6</xdr:row>
      <xdr:rowOff>352424</xdr:rowOff>
    </xdr:to>
    <xdr:pic>
      <xdr:nvPicPr>
        <xdr:cNvPr id="4" name="Picture 3" descr="Vectores de Check simbolo - Descarga vectores gratis de gran calidad |  Magnific (anteriormente Freepik)">
          <a:extLst>
            <a:ext uri="{FF2B5EF4-FFF2-40B4-BE49-F238E27FC236}">
              <a16:creationId xmlns:a16="http://schemas.microsoft.com/office/drawing/2014/main" id="{D121C759-0EDD-4185-BD18-37C72E9D0E4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67351" y="20764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238126</xdr:colOff>
      <xdr:row>7</xdr:row>
      <xdr:rowOff>85725</xdr:rowOff>
    </xdr:from>
    <xdr:to>
      <xdr:col>3</xdr:col>
      <xdr:colOff>523875</xdr:colOff>
      <xdr:row>7</xdr:row>
      <xdr:rowOff>371474</xdr:rowOff>
    </xdr:to>
    <xdr:pic>
      <xdr:nvPicPr>
        <xdr:cNvPr id="5" name="Picture 4" descr="Vectores de Check simbolo - Descarga vectores gratis de gran calidad |  Magnific (anteriormente Freepik)">
          <a:extLst>
            <a:ext uri="{FF2B5EF4-FFF2-40B4-BE49-F238E27FC236}">
              <a16:creationId xmlns:a16="http://schemas.microsoft.com/office/drawing/2014/main" id="{04042037-687C-4D3E-9C43-523F0297A3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57826" y="25050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247651</xdr:colOff>
      <xdr:row>10</xdr:row>
      <xdr:rowOff>85725</xdr:rowOff>
    </xdr:from>
    <xdr:to>
      <xdr:col>3</xdr:col>
      <xdr:colOff>533400</xdr:colOff>
      <xdr:row>10</xdr:row>
      <xdr:rowOff>371474</xdr:rowOff>
    </xdr:to>
    <xdr:pic>
      <xdr:nvPicPr>
        <xdr:cNvPr id="6" name="Picture 5" descr="Vectores de Check simbolo - Descarga vectores gratis de gran calidad |  Magnific (anteriormente Freepik)">
          <a:extLst>
            <a:ext uri="{FF2B5EF4-FFF2-40B4-BE49-F238E27FC236}">
              <a16:creationId xmlns:a16="http://schemas.microsoft.com/office/drawing/2014/main" id="{B7CD287E-425A-45B7-B99A-6A9EB4ECB1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67351" y="373380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266701</xdr:colOff>
      <xdr:row>13</xdr:row>
      <xdr:rowOff>57150</xdr:rowOff>
    </xdr:from>
    <xdr:to>
      <xdr:col>3</xdr:col>
      <xdr:colOff>552450</xdr:colOff>
      <xdr:row>13</xdr:row>
      <xdr:rowOff>342899</xdr:rowOff>
    </xdr:to>
    <xdr:pic>
      <xdr:nvPicPr>
        <xdr:cNvPr id="7" name="Picture 6" descr="Vectores de Check simbolo - Descarga vectores gratis de gran calidad |  Magnific (anteriormente Freepik)">
          <a:extLst>
            <a:ext uri="{FF2B5EF4-FFF2-40B4-BE49-F238E27FC236}">
              <a16:creationId xmlns:a16="http://schemas.microsoft.com/office/drawing/2014/main" id="{15FD5BB2-0FAD-475C-AA24-EFD5C2C32A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86401" y="49339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257176</xdr:colOff>
      <xdr:row>5</xdr:row>
      <xdr:rowOff>66675</xdr:rowOff>
    </xdr:from>
    <xdr:to>
      <xdr:col>4</xdr:col>
      <xdr:colOff>542925</xdr:colOff>
      <xdr:row>5</xdr:row>
      <xdr:rowOff>352424</xdr:rowOff>
    </xdr:to>
    <xdr:pic>
      <xdr:nvPicPr>
        <xdr:cNvPr id="8" name="Picture 7" descr="Vectores de Check simbolo - Descarga vectores gratis de gran calidad |  Magnific (anteriormente Freepik)">
          <a:extLst>
            <a:ext uri="{FF2B5EF4-FFF2-40B4-BE49-F238E27FC236}">
              <a16:creationId xmlns:a16="http://schemas.microsoft.com/office/drawing/2014/main" id="{D0D88F88-63E1-468B-9E70-46EC3321C7F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91276" y="16668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266701</xdr:colOff>
      <xdr:row>6</xdr:row>
      <xdr:rowOff>66675</xdr:rowOff>
    </xdr:from>
    <xdr:to>
      <xdr:col>4</xdr:col>
      <xdr:colOff>552450</xdr:colOff>
      <xdr:row>6</xdr:row>
      <xdr:rowOff>352424</xdr:rowOff>
    </xdr:to>
    <xdr:pic>
      <xdr:nvPicPr>
        <xdr:cNvPr id="9" name="Picture 8" descr="Vectores de Check simbolo - Descarga vectores gratis de gran calidad |  Magnific (anteriormente Freepik)">
          <a:extLst>
            <a:ext uri="{FF2B5EF4-FFF2-40B4-BE49-F238E27FC236}">
              <a16:creationId xmlns:a16="http://schemas.microsoft.com/office/drawing/2014/main" id="{21DE0839-175A-453A-B953-0ABB1971F3F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00801" y="20764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266701</xdr:colOff>
      <xdr:row>7</xdr:row>
      <xdr:rowOff>85725</xdr:rowOff>
    </xdr:from>
    <xdr:to>
      <xdr:col>4</xdr:col>
      <xdr:colOff>552450</xdr:colOff>
      <xdr:row>7</xdr:row>
      <xdr:rowOff>371474</xdr:rowOff>
    </xdr:to>
    <xdr:pic>
      <xdr:nvPicPr>
        <xdr:cNvPr id="10" name="Picture 9" descr="Vectores de Check simbolo - Descarga vectores gratis de gran calidad |  Magnific (anteriormente Freepik)">
          <a:extLst>
            <a:ext uri="{FF2B5EF4-FFF2-40B4-BE49-F238E27FC236}">
              <a16:creationId xmlns:a16="http://schemas.microsoft.com/office/drawing/2014/main" id="{1859F5F9-4170-4B43-85B5-EFCF5BCA95D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1" y="25050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285751</xdr:colOff>
      <xdr:row>10</xdr:row>
      <xdr:rowOff>85725</xdr:rowOff>
    </xdr:from>
    <xdr:to>
      <xdr:col>4</xdr:col>
      <xdr:colOff>571500</xdr:colOff>
      <xdr:row>10</xdr:row>
      <xdr:rowOff>371474</xdr:rowOff>
    </xdr:to>
    <xdr:pic>
      <xdr:nvPicPr>
        <xdr:cNvPr id="11" name="Picture 10" descr="Vectores de Check simbolo - Descarga vectores gratis de gran calidad |  Magnific (anteriormente Freepik)">
          <a:extLst>
            <a:ext uri="{FF2B5EF4-FFF2-40B4-BE49-F238E27FC236}">
              <a16:creationId xmlns:a16="http://schemas.microsoft.com/office/drawing/2014/main" id="{259764F2-29CE-4BD4-837B-1161848D80E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43651" y="373380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285751</xdr:colOff>
      <xdr:row>13</xdr:row>
      <xdr:rowOff>57150</xdr:rowOff>
    </xdr:from>
    <xdr:to>
      <xdr:col>4</xdr:col>
      <xdr:colOff>571500</xdr:colOff>
      <xdr:row>13</xdr:row>
      <xdr:rowOff>342899</xdr:rowOff>
    </xdr:to>
    <xdr:pic>
      <xdr:nvPicPr>
        <xdr:cNvPr id="12" name="Picture 11" descr="Vectores de Check simbolo - Descarga vectores gratis de gran calidad |  Magnific (anteriormente Freepik)">
          <a:extLst>
            <a:ext uri="{FF2B5EF4-FFF2-40B4-BE49-F238E27FC236}">
              <a16:creationId xmlns:a16="http://schemas.microsoft.com/office/drawing/2014/main" id="{EFAC2782-094F-4AF9-A00D-40A6D36130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43651" y="4933950"/>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295276</xdr:colOff>
      <xdr:row>11</xdr:row>
      <xdr:rowOff>85725</xdr:rowOff>
    </xdr:from>
    <xdr:to>
      <xdr:col>4</xdr:col>
      <xdr:colOff>581025</xdr:colOff>
      <xdr:row>11</xdr:row>
      <xdr:rowOff>371474</xdr:rowOff>
    </xdr:to>
    <xdr:pic>
      <xdr:nvPicPr>
        <xdr:cNvPr id="13" name="Picture 12" descr="Vectores de Check simbolo - Descarga vectores gratis de gran calidad |  Magnific (anteriormente Freepik)">
          <a:extLst>
            <a:ext uri="{FF2B5EF4-FFF2-40B4-BE49-F238E27FC236}">
              <a16:creationId xmlns:a16="http://schemas.microsoft.com/office/drawing/2014/main" id="{F970476D-7B4E-4B5A-996C-752B8238806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353176" y="414337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276226</xdr:colOff>
      <xdr:row>8</xdr:row>
      <xdr:rowOff>76200</xdr:rowOff>
    </xdr:from>
    <xdr:to>
      <xdr:col>4</xdr:col>
      <xdr:colOff>561975</xdr:colOff>
      <xdr:row>8</xdr:row>
      <xdr:rowOff>361949</xdr:rowOff>
    </xdr:to>
    <xdr:pic>
      <xdr:nvPicPr>
        <xdr:cNvPr id="14" name="Picture 13" descr="Vectores de Check simbolo - Descarga vectores gratis de gran calidad |  Magnific (anteriormente Freepik)">
          <a:extLst>
            <a:ext uri="{FF2B5EF4-FFF2-40B4-BE49-F238E27FC236}">
              <a16:creationId xmlns:a16="http://schemas.microsoft.com/office/drawing/2014/main" id="{B20167A7-22D5-4604-A64F-CFF27AD439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10326" y="2905125"/>
          <a:ext cx="285749"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200025</xdr:colOff>
      <xdr:row>4</xdr:row>
      <xdr:rowOff>38100</xdr:rowOff>
    </xdr:from>
    <xdr:to>
      <xdr:col>3</xdr:col>
      <xdr:colOff>552450</xdr:colOff>
      <xdr:row>4</xdr:row>
      <xdr:rowOff>390525</xdr:rowOff>
    </xdr:to>
    <xdr:pic>
      <xdr:nvPicPr>
        <xdr:cNvPr id="15" name="Picture 14" descr="alerta símbolo amarillo aislado 51097691 Vector en Vecteezy">
          <a:extLst>
            <a:ext uri="{FF2B5EF4-FFF2-40B4-BE49-F238E27FC236}">
              <a16:creationId xmlns:a16="http://schemas.microsoft.com/office/drawing/2014/main" id="{D7979CA7-948F-D2DF-BA29-1D46E5FC547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19725" y="12287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219075</xdr:colOff>
      <xdr:row>4</xdr:row>
      <xdr:rowOff>38100</xdr:rowOff>
    </xdr:from>
    <xdr:to>
      <xdr:col>4</xdr:col>
      <xdr:colOff>571500</xdr:colOff>
      <xdr:row>4</xdr:row>
      <xdr:rowOff>390525</xdr:rowOff>
    </xdr:to>
    <xdr:pic>
      <xdr:nvPicPr>
        <xdr:cNvPr id="16" name="Picture 15" descr="alerta símbolo amarillo aislado 51097691 Vector en Vecteezy">
          <a:extLst>
            <a:ext uri="{FF2B5EF4-FFF2-40B4-BE49-F238E27FC236}">
              <a16:creationId xmlns:a16="http://schemas.microsoft.com/office/drawing/2014/main" id="{77CF8497-E463-4A81-89AA-56442FB727C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276975" y="12287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219075</xdr:colOff>
      <xdr:row>8</xdr:row>
      <xdr:rowOff>38100</xdr:rowOff>
    </xdr:from>
    <xdr:to>
      <xdr:col>3</xdr:col>
      <xdr:colOff>571500</xdr:colOff>
      <xdr:row>8</xdr:row>
      <xdr:rowOff>390525</xdr:rowOff>
    </xdr:to>
    <xdr:pic>
      <xdr:nvPicPr>
        <xdr:cNvPr id="17" name="Picture 16" descr="alerta símbolo amarillo aislado 51097691 Vector en Vecteezy">
          <a:extLst>
            <a:ext uri="{FF2B5EF4-FFF2-40B4-BE49-F238E27FC236}">
              <a16:creationId xmlns:a16="http://schemas.microsoft.com/office/drawing/2014/main" id="{19A7B2CE-B10C-4827-B3E5-53F445AB64F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38775" y="2867025"/>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228600</xdr:colOff>
      <xdr:row>11</xdr:row>
      <xdr:rowOff>19050</xdr:rowOff>
    </xdr:from>
    <xdr:to>
      <xdr:col>3</xdr:col>
      <xdr:colOff>581025</xdr:colOff>
      <xdr:row>11</xdr:row>
      <xdr:rowOff>371475</xdr:rowOff>
    </xdr:to>
    <xdr:pic>
      <xdr:nvPicPr>
        <xdr:cNvPr id="18" name="Picture 17" descr="alerta símbolo amarillo aislado 51097691 Vector en Vecteezy">
          <a:extLst>
            <a:ext uri="{FF2B5EF4-FFF2-40B4-BE49-F238E27FC236}">
              <a16:creationId xmlns:a16="http://schemas.microsoft.com/office/drawing/2014/main" id="{2D606D54-C877-4E49-9020-90332B02FE9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48300" y="4076700"/>
          <a:ext cx="352425" cy="352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200026</xdr:colOff>
      <xdr:row>9</xdr:row>
      <xdr:rowOff>19050</xdr:rowOff>
    </xdr:from>
    <xdr:to>
      <xdr:col>3</xdr:col>
      <xdr:colOff>581026</xdr:colOff>
      <xdr:row>9</xdr:row>
      <xdr:rowOff>400050</xdr:rowOff>
    </xdr:to>
    <xdr:pic>
      <xdr:nvPicPr>
        <xdr:cNvPr id="19" name="Picture 18" descr="Símbolo De Alerta En Círculo PNG ,dibujos Exclamación, Importante, Circulo  PNG Imagen para Descarga Gratuita | Pngtree">
          <a:extLst>
            <a:ext uri="{FF2B5EF4-FFF2-40B4-BE49-F238E27FC236}">
              <a16:creationId xmlns:a16="http://schemas.microsoft.com/office/drawing/2014/main" id="{BD930064-6F94-A2D7-1216-8CC0A0995D2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419726" y="3257550"/>
          <a:ext cx="3810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219076</xdr:colOff>
      <xdr:row>9</xdr:row>
      <xdr:rowOff>28575</xdr:rowOff>
    </xdr:from>
    <xdr:to>
      <xdr:col>4</xdr:col>
      <xdr:colOff>600076</xdr:colOff>
      <xdr:row>10</xdr:row>
      <xdr:rowOff>0</xdr:rowOff>
    </xdr:to>
    <xdr:pic>
      <xdr:nvPicPr>
        <xdr:cNvPr id="27" name="Picture 26" descr="Símbolo De Alerta En Círculo PNG ,dibujos Exclamación, Importante, Circulo  PNG Imagen para Descarga Gratuita | Pngtree">
          <a:extLst>
            <a:ext uri="{FF2B5EF4-FFF2-40B4-BE49-F238E27FC236}">
              <a16:creationId xmlns:a16="http://schemas.microsoft.com/office/drawing/2014/main" id="{8F543178-F768-4054-BC83-CD8FD5F644FB}"/>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353176" y="3267075"/>
          <a:ext cx="3810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8671875" defaultRowHeight="14.4" x14ac:dyDescent="0.3"/>
  <cols>
    <col min="1" max="1" width="14" style="68" customWidth="1"/>
    <col min="2" max="2" width="38" style="68" customWidth="1"/>
    <col min="3" max="3" width="42" style="68" customWidth="1"/>
    <col min="4" max="4" width="80" style="68" customWidth="1"/>
    <col min="5" max="16384" width="8.88671875" style="68"/>
  </cols>
  <sheetData>
    <row r="1" spans="1:4" ht="28.2" customHeight="1" x14ac:dyDescent="0.3">
      <c r="A1" s="82" t="s">
        <v>0</v>
      </c>
      <c r="B1" s="83"/>
      <c r="C1" s="83"/>
      <c r="D1" s="83"/>
    </row>
    <row r="2" spans="1:4" ht="6" customHeight="1" x14ac:dyDescent="0.3"/>
    <row r="3" spans="1:4" ht="22.2" customHeight="1" x14ac:dyDescent="0.3">
      <c r="A3" s="69" t="s">
        <v>1</v>
      </c>
      <c r="B3" s="69" t="s">
        <v>2</v>
      </c>
      <c r="C3" s="69" t="s">
        <v>3</v>
      </c>
      <c r="D3" s="69" t="s">
        <v>4</v>
      </c>
    </row>
    <row r="4" spans="1:4" ht="18" customHeight="1" x14ac:dyDescent="0.3">
      <c r="A4" s="69" t="s">
        <v>5</v>
      </c>
      <c r="B4" s="70" t="s">
        <v>6</v>
      </c>
      <c r="C4" s="70" t="s">
        <v>7</v>
      </c>
      <c r="D4" s="71" t="s">
        <v>8</v>
      </c>
    </row>
    <row r="5" spans="1:4" ht="18" customHeight="1" x14ac:dyDescent="0.3">
      <c r="A5" s="69" t="s">
        <v>5</v>
      </c>
      <c r="B5" s="70" t="s">
        <v>6</v>
      </c>
      <c r="C5" s="70" t="s">
        <v>9</v>
      </c>
      <c r="D5" s="71" t="s">
        <v>10</v>
      </c>
    </row>
    <row r="6" spans="1:4" ht="18" customHeight="1" x14ac:dyDescent="0.3">
      <c r="A6" s="69" t="s">
        <v>11</v>
      </c>
      <c r="B6" s="70" t="s">
        <v>6</v>
      </c>
      <c r="C6" s="70" t="s">
        <v>12</v>
      </c>
      <c r="D6" s="71" t="s">
        <v>13</v>
      </c>
    </row>
    <row r="7" spans="1:4" ht="18" customHeight="1" x14ac:dyDescent="0.3">
      <c r="A7" s="69" t="s">
        <v>14</v>
      </c>
      <c r="B7" s="70" t="s">
        <v>6</v>
      </c>
      <c r="C7" s="70" t="s">
        <v>15</v>
      </c>
      <c r="D7" s="71" t="s">
        <v>16</v>
      </c>
    </row>
    <row r="8" spans="1:4" ht="18" customHeight="1" x14ac:dyDescent="0.3">
      <c r="A8" s="69" t="s">
        <v>17</v>
      </c>
      <c r="B8" s="70" t="s">
        <v>6</v>
      </c>
      <c r="C8" s="70" t="s">
        <v>18</v>
      </c>
      <c r="D8" s="71" t="s">
        <v>19</v>
      </c>
    </row>
    <row r="9" spans="1:4" ht="18" customHeight="1" x14ac:dyDescent="0.3">
      <c r="A9" s="69" t="s">
        <v>20</v>
      </c>
      <c r="B9" s="70" t="s">
        <v>6</v>
      </c>
      <c r="C9" s="70" t="s">
        <v>21</v>
      </c>
      <c r="D9" s="71" t="s">
        <v>8</v>
      </c>
    </row>
    <row r="10" spans="1:4" ht="18" customHeight="1" x14ac:dyDescent="0.3">
      <c r="A10" s="69" t="s">
        <v>22</v>
      </c>
      <c r="B10" s="70" t="s">
        <v>6</v>
      </c>
      <c r="C10" s="70" t="s">
        <v>23</v>
      </c>
      <c r="D10" s="71" t="s">
        <v>24</v>
      </c>
    </row>
    <row r="11" spans="1:4" ht="18" customHeight="1" x14ac:dyDescent="0.3">
      <c r="A11" s="69" t="s">
        <v>25</v>
      </c>
      <c r="B11" s="70" t="s">
        <v>6</v>
      </c>
      <c r="C11" s="70" t="s">
        <v>26</v>
      </c>
      <c r="D11" s="71" t="s">
        <v>27</v>
      </c>
    </row>
    <row r="12" spans="1:4" ht="18" customHeight="1" x14ac:dyDescent="0.3">
      <c r="A12" s="69" t="s">
        <v>5</v>
      </c>
      <c r="B12" s="70" t="s">
        <v>28</v>
      </c>
      <c r="C12" s="70" t="s">
        <v>29</v>
      </c>
      <c r="D12" s="71" t="s">
        <v>30</v>
      </c>
    </row>
    <row r="13" spans="1:4" ht="18" customHeight="1" x14ac:dyDescent="0.3">
      <c r="A13" s="69" t="s">
        <v>14</v>
      </c>
      <c r="B13" s="70" t="s">
        <v>28</v>
      </c>
      <c r="C13" s="70" t="s">
        <v>31</v>
      </c>
      <c r="D13" s="71" t="s">
        <v>32</v>
      </c>
    </row>
    <row r="14" spans="1:4" ht="18" customHeight="1" x14ac:dyDescent="0.3">
      <c r="A14" s="69" t="s">
        <v>17</v>
      </c>
      <c r="B14" s="70" t="s">
        <v>28</v>
      </c>
      <c r="C14" s="70" t="s">
        <v>33</v>
      </c>
      <c r="D14" s="71" t="s">
        <v>34</v>
      </c>
    </row>
    <row r="15" spans="1:4" ht="18" customHeight="1" x14ac:dyDescent="0.3">
      <c r="A15" s="69" t="s">
        <v>20</v>
      </c>
      <c r="B15" s="70" t="s">
        <v>28</v>
      </c>
      <c r="C15" s="70" t="s">
        <v>35</v>
      </c>
      <c r="D15" s="71" t="s">
        <v>36</v>
      </c>
    </row>
    <row r="16" spans="1:4" ht="18" customHeight="1" x14ac:dyDescent="0.3">
      <c r="A16" s="69" t="s">
        <v>22</v>
      </c>
      <c r="B16" s="70" t="s">
        <v>28</v>
      </c>
      <c r="C16" s="70" t="s">
        <v>37</v>
      </c>
      <c r="D16" s="71" t="s">
        <v>38</v>
      </c>
    </row>
    <row r="17" spans="1:4" ht="18" customHeight="1" x14ac:dyDescent="0.3">
      <c r="A17" s="69" t="s">
        <v>25</v>
      </c>
      <c r="B17" s="70" t="s">
        <v>28</v>
      </c>
      <c r="C17" s="70" t="s">
        <v>39</v>
      </c>
      <c r="D17" s="71" t="s">
        <v>40</v>
      </c>
    </row>
    <row r="18" spans="1:4" ht="18" customHeight="1" x14ac:dyDescent="0.3">
      <c r="A18" s="69" t="s">
        <v>41</v>
      </c>
      <c r="B18" s="70" t="s">
        <v>28</v>
      </c>
      <c r="C18" s="70" t="s">
        <v>42</v>
      </c>
      <c r="D18" s="70"/>
    </row>
    <row r="19" spans="1:4" ht="18" customHeight="1" x14ac:dyDescent="0.3">
      <c r="A19" s="69" t="s">
        <v>5</v>
      </c>
      <c r="B19" s="70" t="s">
        <v>43</v>
      </c>
      <c r="C19" s="70" t="s">
        <v>44</v>
      </c>
      <c r="D19" s="71" t="s">
        <v>45</v>
      </c>
    </row>
    <row r="20" spans="1:4" ht="18" customHeight="1" x14ac:dyDescent="0.3">
      <c r="A20" s="69" t="s">
        <v>11</v>
      </c>
      <c r="B20" s="70" t="s">
        <v>43</v>
      </c>
      <c r="C20" s="70" t="s">
        <v>46</v>
      </c>
      <c r="D20" s="71" t="s">
        <v>47</v>
      </c>
    </row>
    <row r="21" spans="1:4" ht="18" customHeight="1" x14ac:dyDescent="0.3">
      <c r="A21" s="69" t="s">
        <v>14</v>
      </c>
      <c r="B21" s="70" t="s">
        <v>43</v>
      </c>
      <c r="C21" s="70" t="s">
        <v>48</v>
      </c>
      <c r="D21" s="71" t="s">
        <v>49</v>
      </c>
    </row>
    <row r="22" spans="1:4" ht="18" customHeight="1" x14ac:dyDescent="0.3">
      <c r="A22" s="69" t="s">
        <v>17</v>
      </c>
      <c r="B22" s="70" t="s">
        <v>43</v>
      </c>
      <c r="C22" s="70" t="s">
        <v>50</v>
      </c>
      <c r="D22" s="71" t="s">
        <v>51</v>
      </c>
    </row>
    <row r="23" spans="1:4" ht="18" customHeight="1" x14ac:dyDescent="0.3">
      <c r="A23" s="69" t="s">
        <v>20</v>
      </c>
      <c r="B23" s="70" t="s">
        <v>43</v>
      </c>
      <c r="C23" s="70" t="s">
        <v>52</v>
      </c>
      <c r="D23" s="71" t="s">
        <v>53</v>
      </c>
    </row>
    <row r="24" spans="1:4" ht="18" customHeight="1" x14ac:dyDescent="0.3">
      <c r="A24" s="69" t="s">
        <v>22</v>
      </c>
      <c r="B24" s="70" t="s">
        <v>43</v>
      </c>
      <c r="C24" s="70" t="s">
        <v>54</v>
      </c>
      <c r="D24" s="71" t="s">
        <v>55</v>
      </c>
    </row>
    <row r="25" spans="1:4" ht="18" customHeight="1" x14ac:dyDescent="0.3">
      <c r="A25" s="69" t="s">
        <v>25</v>
      </c>
      <c r="B25" s="70" t="s">
        <v>43</v>
      </c>
      <c r="C25" s="70" t="s">
        <v>56</v>
      </c>
      <c r="D25" s="71" t="s">
        <v>57</v>
      </c>
    </row>
    <row r="26" spans="1:4" ht="18" customHeight="1" x14ac:dyDescent="0.3">
      <c r="A26" s="69" t="s">
        <v>58</v>
      </c>
      <c r="B26" s="70" t="s">
        <v>43</v>
      </c>
      <c r="C26" s="70" t="s">
        <v>59</v>
      </c>
      <c r="D26" s="71" t="s">
        <v>60</v>
      </c>
    </row>
    <row r="27" spans="1:4" ht="18" customHeight="1" x14ac:dyDescent="0.3">
      <c r="A27" s="69" t="s">
        <v>5</v>
      </c>
      <c r="B27" s="70" t="s">
        <v>61</v>
      </c>
      <c r="C27" s="70" t="s">
        <v>62</v>
      </c>
      <c r="D27" s="71" t="s">
        <v>63</v>
      </c>
    </row>
    <row r="28" spans="1:4" ht="18" customHeight="1" x14ac:dyDescent="0.3">
      <c r="A28" s="69" t="s">
        <v>14</v>
      </c>
      <c r="B28" s="70" t="s">
        <v>61</v>
      </c>
      <c r="C28" s="70" t="s">
        <v>64</v>
      </c>
      <c r="D28" s="71" t="s">
        <v>65</v>
      </c>
    </row>
    <row r="29" spans="1:4" ht="18" customHeight="1" x14ac:dyDescent="0.3">
      <c r="A29" s="69" t="s">
        <v>17</v>
      </c>
      <c r="B29" s="70" t="s">
        <v>61</v>
      </c>
      <c r="C29" s="70" t="s">
        <v>50</v>
      </c>
      <c r="D29" s="71" t="s">
        <v>51</v>
      </c>
    </row>
    <row r="30" spans="1:4" ht="18" customHeight="1" x14ac:dyDescent="0.3">
      <c r="A30" s="69" t="s">
        <v>20</v>
      </c>
      <c r="B30" s="70" t="s">
        <v>61</v>
      </c>
      <c r="C30" s="70" t="s">
        <v>66</v>
      </c>
      <c r="D30" s="71" t="s">
        <v>67</v>
      </c>
    </row>
    <row r="31" spans="1:4" ht="18" customHeight="1" x14ac:dyDescent="0.3">
      <c r="A31" s="69" t="s">
        <v>22</v>
      </c>
      <c r="B31" s="70" t="s">
        <v>61</v>
      </c>
      <c r="C31" s="70" t="s">
        <v>68</v>
      </c>
      <c r="D31" s="71" t="s">
        <v>69</v>
      </c>
    </row>
    <row r="32" spans="1:4" ht="18" customHeight="1" x14ac:dyDescent="0.3">
      <c r="A32" s="69" t="s">
        <v>41</v>
      </c>
      <c r="B32" s="70" t="s">
        <v>61</v>
      </c>
      <c r="C32" s="70" t="s">
        <v>70</v>
      </c>
      <c r="D32" s="71" t="s">
        <v>71</v>
      </c>
    </row>
    <row r="33" spans="1:4" ht="18" customHeight="1" x14ac:dyDescent="0.3">
      <c r="A33" s="69" t="s">
        <v>58</v>
      </c>
      <c r="B33" s="70" t="s">
        <v>61</v>
      </c>
      <c r="C33" s="70" t="s">
        <v>72</v>
      </c>
      <c r="D33" s="71" t="s">
        <v>73</v>
      </c>
    </row>
    <row r="34" spans="1:4" ht="18" customHeight="1" x14ac:dyDescent="0.3">
      <c r="A34" s="69" t="s">
        <v>5</v>
      </c>
      <c r="B34" s="70" t="s">
        <v>74</v>
      </c>
      <c r="C34" s="70" t="s">
        <v>75</v>
      </c>
      <c r="D34" s="71" t="s">
        <v>76</v>
      </c>
    </row>
    <row r="35" spans="1:4" ht="18" customHeight="1" x14ac:dyDescent="0.3">
      <c r="A35" s="69" t="s">
        <v>5</v>
      </c>
      <c r="B35" s="70" t="s">
        <v>74</v>
      </c>
      <c r="C35" s="70" t="s">
        <v>77</v>
      </c>
      <c r="D35" s="71" t="s">
        <v>78</v>
      </c>
    </row>
    <row r="36" spans="1:4" ht="18" customHeight="1" x14ac:dyDescent="0.3">
      <c r="A36" s="69" t="s">
        <v>11</v>
      </c>
      <c r="B36" s="70" t="s">
        <v>74</v>
      </c>
      <c r="C36" s="70" t="s">
        <v>79</v>
      </c>
      <c r="D36" s="71" t="s">
        <v>80</v>
      </c>
    </row>
    <row r="37" spans="1:4" ht="18" customHeight="1" x14ac:dyDescent="0.3">
      <c r="A37" s="69" t="s">
        <v>14</v>
      </c>
      <c r="B37" s="70" t="s">
        <v>74</v>
      </c>
      <c r="C37" s="70" t="s">
        <v>81</v>
      </c>
      <c r="D37" s="71" t="s">
        <v>82</v>
      </c>
    </row>
    <row r="38" spans="1:4" ht="18" customHeight="1" x14ac:dyDescent="0.3">
      <c r="A38" s="69" t="s">
        <v>17</v>
      </c>
      <c r="B38" s="70" t="s">
        <v>74</v>
      </c>
      <c r="C38" s="70" t="s">
        <v>83</v>
      </c>
      <c r="D38" s="71" t="s">
        <v>84</v>
      </c>
    </row>
    <row r="39" spans="1:4" ht="18" customHeight="1" x14ac:dyDescent="0.3">
      <c r="A39" s="69" t="s">
        <v>20</v>
      </c>
      <c r="B39" s="70" t="s">
        <v>74</v>
      </c>
      <c r="C39" s="70" t="s">
        <v>85</v>
      </c>
      <c r="D39" s="71" t="s">
        <v>86</v>
      </c>
    </row>
    <row r="40" spans="1:4" ht="18" customHeight="1" x14ac:dyDescent="0.3">
      <c r="A40" s="69" t="s">
        <v>22</v>
      </c>
      <c r="B40" s="70" t="s">
        <v>74</v>
      </c>
      <c r="C40" s="70" t="s">
        <v>87</v>
      </c>
      <c r="D40" s="71" t="s">
        <v>88</v>
      </c>
    </row>
    <row r="41" spans="1:4" ht="18" customHeight="1" x14ac:dyDescent="0.3">
      <c r="A41" s="69" t="s">
        <v>25</v>
      </c>
      <c r="B41" s="70" t="s">
        <v>74</v>
      </c>
      <c r="C41" s="70" t="s">
        <v>89</v>
      </c>
      <c r="D41" s="71" t="s">
        <v>90</v>
      </c>
    </row>
    <row r="42" spans="1:4" ht="18" customHeight="1" x14ac:dyDescent="0.3">
      <c r="A42" s="69" t="s">
        <v>58</v>
      </c>
      <c r="B42" s="70" t="s">
        <v>74</v>
      </c>
      <c r="C42" s="70" t="s">
        <v>91</v>
      </c>
      <c r="D42" s="71" t="s">
        <v>92</v>
      </c>
    </row>
    <row r="43" spans="1:4" ht="18" customHeight="1" x14ac:dyDescent="0.3">
      <c r="A43" s="69" t="s">
        <v>5</v>
      </c>
      <c r="B43" s="70" t="s">
        <v>93</v>
      </c>
      <c r="C43" s="70" t="s">
        <v>94</v>
      </c>
      <c r="D43" s="71" t="s">
        <v>95</v>
      </c>
    </row>
    <row r="44" spans="1:4" ht="18" customHeight="1" x14ac:dyDescent="0.3">
      <c r="A44" s="69" t="s">
        <v>14</v>
      </c>
      <c r="B44" s="70" t="s">
        <v>93</v>
      </c>
      <c r="C44" s="70" t="s">
        <v>96</v>
      </c>
      <c r="D44" s="71" t="s">
        <v>97</v>
      </c>
    </row>
    <row r="45" spans="1:4" ht="18" customHeight="1" x14ac:dyDescent="0.3">
      <c r="A45" s="69" t="s">
        <v>17</v>
      </c>
      <c r="B45" s="70" t="s">
        <v>93</v>
      </c>
      <c r="C45" s="70" t="s">
        <v>98</v>
      </c>
      <c r="D45" s="71" t="s">
        <v>99</v>
      </c>
    </row>
    <row r="46" spans="1:4" ht="18" customHeight="1" x14ac:dyDescent="0.3">
      <c r="A46" s="69" t="s">
        <v>20</v>
      </c>
      <c r="B46" s="70" t="s">
        <v>93</v>
      </c>
      <c r="C46" s="70" t="s">
        <v>100</v>
      </c>
      <c r="D46" s="71" t="s">
        <v>101</v>
      </c>
    </row>
    <row r="47" spans="1:4" ht="18" customHeight="1" x14ac:dyDescent="0.3">
      <c r="A47" s="69" t="s">
        <v>58</v>
      </c>
      <c r="B47" s="70" t="s">
        <v>102</v>
      </c>
      <c r="C47" s="70" t="s">
        <v>103</v>
      </c>
      <c r="D47" s="71" t="s">
        <v>104</v>
      </c>
    </row>
    <row r="48" spans="1:4" ht="18" customHeight="1" x14ac:dyDescent="0.3">
      <c r="A48" s="69" t="s">
        <v>5</v>
      </c>
      <c r="B48" s="70" t="s">
        <v>105</v>
      </c>
      <c r="C48" s="70" t="s">
        <v>106</v>
      </c>
      <c r="D48" s="71" t="s">
        <v>107</v>
      </c>
    </row>
    <row r="49" spans="1:4" ht="18" customHeight="1" x14ac:dyDescent="0.3">
      <c r="A49" s="69" t="s">
        <v>11</v>
      </c>
      <c r="B49" s="70" t="s">
        <v>105</v>
      </c>
      <c r="C49" s="70" t="s">
        <v>108</v>
      </c>
      <c r="D49" s="71" t="s">
        <v>109</v>
      </c>
    </row>
    <row r="50" spans="1:4" ht="18" customHeight="1" x14ac:dyDescent="0.3">
      <c r="A50" s="69" t="s">
        <v>14</v>
      </c>
      <c r="B50" s="70" t="s">
        <v>105</v>
      </c>
      <c r="C50" s="70" t="s">
        <v>110</v>
      </c>
      <c r="D50" s="71" t="s">
        <v>111</v>
      </c>
    </row>
    <row r="51" spans="1:4" ht="18" customHeight="1" x14ac:dyDescent="0.3">
      <c r="A51" s="69" t="s">
        <v>17</v>
      </c>
      <c r="B51" s="70" t="s">
        <v>105</v>
      </c>
      <c r="C51" s="70" t="s">
        <v>112</v>
      </c>
      <c r="D51" s="71" t="s">
        <v>113</v>
      </c>
    </row>
    <row r="52" spans="1:4" ht="18" customHeight="1" x14ac:dyDescent="0.3">
      <c r="A52" s="69" t="s">
        <v>20</v>
      </c>
      <c r="B52" s="70" t="s">
        <v>105</v>
      </c>
      <c r="C52" s="70" t="s">
        <v>114</v>
      </c>
      <c r="D52" s="71" t="s">
        <v>115</v>
      </c>
    </row>
    <row r="53" spans="1:4" ht="18" customHeight="1" x14ac:dyDescent="0.3">
      <c r="A53" s="69" t="s">
        <v>22</v>
      </c>
      <c r="B53" s="70" t="s">
        <v>105</v>
      </c>
      <c r="C53" s="70" t="s">
        <v>116</v>
      </c>
      <c r="D53" s="71" t="s">
        <v>117</v>
      </c>
    </row>
    <row r="54" spans="1:4" ht="18" customHeight="1" x14ac:dyDescent="0.3">
      <c r="A54" s="69" t="s">
        <v>25</v>
      </c>
      <c r="B54" s="70" t="s">
        <v>105</v>
      </c>
      <c r="C54" s="70" t="s">
        <v>118</v>
      </c>
      <c r="D54" s="71" t="s">
        <v>119</v>
      </c>
    </row>
    <row r="55" spans="1:4" ht="18" customHeight="1" x14ac:dyDescent="0.3">
      <c r="A55" s="69" t="s">
        <v>5</v>
      </c>
      <c r="B55" s="70" t="s">
        <v>120</v>
      </c>
      <c r="C55" s="70" t="s">
        <v>121</v>
      </c>
      <c r="D55" s="71" t="s">
        <v>122</v>
      </c>
    </row>
    <row r="56" spans="1:4" ht="18" customHeight="1" x14ac:dyDescent="0.3">
      <c r="A56" s="69" t="s">
        <v>11</v>
      </c>
      <c r="B56" s="70" t="s">
        <v>120</v>
      </c>
      <c r="C56" s="70" t="s">
        <v>123</v>
      </c>
      <c r="D56" s="70"/>
    </row>
    <row r="57" spans="1:4" ht="18" customHeight="1" x14ac:dyDescent="0.3">
      <c r="A57" s="69" t="s">
        <v>17</v>
      </c>
      <c r="B57" s="70" t="s">
        <v>120</v>
      </c>
      <c r="C57" s="70" t="s">
        <v>124</v>
      </c>
      <c r="D57" s="71" t="s">
        <v>125</v>
      </c>
    </row>
    <row r="58" spans="1:4" ht="18" customHeight="1" x14ac:dyDescent="0.3">
      <c r="A58" s="69" t="s">
        <v>20</v>
      </c>
      <c r="B58" s="70" t="s">
        <v>120</v>
      </c>
      <c r="C58" s="70" t="s">
        <v>126</v>
      </c>
      <c r="D58" s="71" t="s">
        <v>122</v>
      </c>
    </row>
    <row r="59" spans="1:4" ht="18" customHeight="1" x14ac:dyDescent="0.3">
      <c r="A59" s="69" t="s">
        <v>25</v>
      </c>
      <c r="B59" s="70" t="s">
        <v>120</v>
      </c>
      <c r="C59" s="70" t="s">
        <v>121</v>
      </c>
      <c r="D59" s="70"/>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tabSelected="1" zoomScale="110" zoomScaleNormal="110" workbookViewId="0">
      <pane xSplit="2" topLeftCell="C1" activePane="topRight" state="frozen"/>
      <selection pane="topRight" activeCell="C2" sqref="C2"/>
    </sheetView>
  </sheetViews>
  <sheetFormatPr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s>
  <sheetData>
    <row r="1" spans="2:11" x14ac:dyDescent="0.3">
      <c r="B1" s="1" t="s">
        <v>127</v>
      </c>
    </row>
    <row r="2" spans="2:11" x14ac:dyDescent="0.3">
      <c r="B2" s="6">
        <v>46119</v>
      </c>
    </row>
    <row r="5" spans="2:11" x14ac:dyDescent="0.3">
      <c r="B5" s="4" t="s">
        <v>128</v>
      </c>
      <c r="C5" s="4" t="s">
        <v>5</v>
      </c>
      <c r="D5" s="4" t="s">
        <v>11</v>
      </c>
      <c r="E5" s="4" t="s">
        <v>14</v>
      </c>
      <c r="F5" s="4" t="s">
        <v>17</v>
      </c>
      <c r="G5" s="4" t="s">
        <v>20</v>
      </c>
      <c r="H5" s="4" t="s">
        <v>22</v>
      </c>
      <c r="I5" s="4" t="s">
        <v>25</v>
      </c>
      <c r="J5" s="4" t="s">
        <v>41</v>
      </c>
      <c r="K5" s="4" t="s">
        <v>58</v>
      </c>
    </row>
    <row r="6" spans="2:11" x14ac:dyDescent="0.3">
      <c r="B6" s="3" t="s">
        <v>129</v>
      </c>
      <c r="C6" s="5" t="s">
        <v>130</v>
      </c>
      <c r="D6" s="5" t="s">
        <v>130</v>
      </c>
      <c r="E6" s="5" t="s">
        <v>131</v>
      </c>
      <c r="F6" s="5" t="s">
        <v>132</v>
      </c>
      <c r="G6" s="5" t="s">
        <v>130</v>
      </c>
      <c r="H6" s="5" t="s">
        <v>132</v>
      </c>
      <c r="I6" s="5" t="s">
        <v>130</v>
      </c>
      <c r="J6" s="5" t="s">
        <v>133</v>
      </c>
      <c r="K6" s="5" t="s">
        <v>134</v>
      </c>
    </row>
    <row r="7" spans="2:11" x14ac:dyDescent="0.3">
      <c r="B7" s="3" t="s">
        <v>135</v>
      </c>
      <c r="C7" s="5" t="s">
        <v>136</v>
      </c>
      <c r="D7" s="5" t="s">
        <v>136</v>
      </c>
      <c r="E7" s="5" t="s">
        <v>130</v>
      </c>
      <c r="F7" s="5" t="s">
        <v>137</v>
      </c>
      <c r="G7" s="5" t="s">
        <v>136</v>
      </c>
      <c r="H7" s="5" t="s">
        <v>138</v>
      </c>
      <c r="I7" s="5" t="s">
        <v>136</v>
      </c>
      <c r="J7" s="5" t="s">
        <v>139</v>
      </c>
      <c r="K7" s="5" t="s">
        <v>140</v>
      </c>
    </row>
    <row r="8" spans="2:11" x14ac:dyDescent="0.3">
      <c r="B8" s="3" t="s">
        <v>135</v>
      </c>
      <c r="C8" s="5"/>
      <c r="D8" s="5"/>
      <c r="E8" s="5"/>
      <c r="F8" s="5"/>
      <c r="G8" s="5"/>
      <c r="H8" s="5"/>
      <c r="I8" s="5"/>
      <c r="J8" s="5" t="s">
        <v>141</v>
      </c>
      <c r="K8" s="5"/>
    </row>
    <row r="9" spans="2:11" x14ac:dyDescent="0.3">
      <c r="B9" s="3" t="s">
        <v>142</v>
      </c>
      <c r="C9" s="5" t="s">
        <v>143</v>
      </c>
      <c r="D9" s="5" t="s">
        <v>144</v>
      </c>
      <c r="E9" s="5"/>
      <c r="F9" s="5" t="s">
        <v>145</v>
      </c>
      <c r="G9" s="5" t="s">
        <v>143</v>
      </c>
      <c r="H9" s="5" t="s">
        <v>145</v>
      </c>
      <c r="I9" s="5" t="s">
        <v>143</v>
      </c>
      <c r="J9" s="5" t="s">
        <v>145</v>
      </c>
      <c r="K9" s="5" t="s">
        <v>144</v>
      </c>
    </row>
    <row r="10" spans="2:11" x14ac:dyDescent="0.3">
      <c r="B10" s="3" t="s">
        <v>146</v>
      </c>
      <c r="C10" s="5"/>
      <c r="D10" s="5"/>
      <c r="E10" s="5"/>
      <c r="F10" s="5"/>
      <c r="G10" s="5"/>
      <c r="H10" s="5" t="s">
        <v>147</v>
      </c>
      <c r="I10" s="5" t="s">
        <v>145</v>
      </c>
      <c r="J10" s="5" t="s">
        <v>143</v>
      </c>
      <c r="K10" s="5" t="s">
        <v>145</v>
      </c>
    </row>
    <row r="11" spans="2:11" x14ac:dyDescent="0.3">
      <c r="B11" s="3" t="s">
        <v>148</v>
      </c>
      <c r="C11" s="5" t="s">
        <v>149</v>
      </c>
      <c r="D11" s="5" t="s">
        <v>149</v>
      </c>
      <c r="E11" s="5" t="s">
        <v>149</v>
      </c>
      <c r="F11" s="5" t="s">
        <v>149</v>
      </c>
      <c r="G11" s="5" t="s">
        <v>149</v>
      </c>
      <c r="H11" s="5" t="s">
        <v>149</v>
      </c>
      <c r="I11" s="5" t="s">
        <v>149</v>
      </c>
      <c r="J11" s="5" t="s">
        <v>149</v>
      </c>
      <c r="K11" s="5" t="s">
        <v>149</v>
      </c>
    </row>
    <row r="12" spans="2:11" x14ac:dyDescent="0.3">
      <c r="B12" s="3" t="s">
        <v>150</v>
      </c>
      <c r="C12" s="5" t="s">
        <v>151</v>
      </c>
      <c r="D12" s="5" t="s">
        <v>151</v>
      </c>
      <c r="E12" s="5" t="s">
        <v>151</v>
      </c>
      <c r="F12" s="5" t="s">
        <v>151</v>
      </c>
      <c r="G12" s="5" t="s">
        <v>151</v>
      </c>
      <c r="H12" s="5" t="s">
        <v>151</v>
      </c>
      <c r="I12" s="5" t="s">
        <v>151</v>
      </c>
      <c r="J12" s="5" t="s">
        <v>151</v>
      </c>
      <c r="K12" s="5" t="s">
        <v>151</v>
      </c>
    </row>
    <row r="13" spans="2:11" x14ac:dyDescent="0.3">
      <c r="B13" s="3" t="s">
        <v>152</v>
      </c>
      <c r="C13" s="5" t="s">
        <v>153</v>
      </c>
      <c r="D13" s="5" t="s">
        <v>153</v>
      </c>
      <c r="E13" s="5" t="s">
        <v>153</v>
      </c>
      <c r="F13" s="5" t="s">
        <v>153</v>
      </c>
      <c r="G13" s="5" t="s">
        <v>153</v>
      </c>
      <c r="H13" s="5" t="s">
        <v>153</v>
      </c>
      <c r="I13" s="5" t="s">
        <v>153</v>
      </c>
      <c r="J13" s="5" t="s">
        <v>153</v>
      </c>
      <c r="K13" s="5" t="s">
        <v>153</v>
      </c>
    </row>
    <row r="14" spans="2:11" x14ac:dyDescent="0.3">
      <c r="B14" s="3" t="s">
        <v>154</v>
      </c>
      <c r="C14" s="5" t="s">
        <v>155</v>
      </c>
      <c r="D14" s="5" t="s">
        <v>155</v>
      </c>
      <c r="E14" s="5" t="s">
        <v>156</v>
      </c>
      <c r="F14" s="5" t="s">
        <v>157</v>
      </c>
      <c r="G14" s="5" t="s">
        <v>155</v>
      </c>
      <c r="H14" s="5" t="s">
        <v>155</v>
      </c>
      <c r="I14" s="5" t="s">
        <v>158</v>
      </c>
      <c r="J14" s="5"/>
      <c r="K14" s="5" t="s">
        <v>155</v>
      </c>
    </row>
    <row r="15" spans="2:11" x14ac:dyDescent="0.3">
      <c r="B15" s="3" t="s">
        <v>154</v>
      </c>
      <c r="C15" s="5" t="s">
        <v>158</v>
      </c>
      <c r="D15" s="5" t="s">
        <v>158</v>
      </c>
      <c r="E15" s="5" t="s">
        <v>158</v>
      </c>
      <c r="F15" s="5"/>
      <c r="G15" s="5" t="s">
        <v>158</v>
      </c>
      <c r="H15" s="5" t="s">
        <v>159</v>
      </c>
      <c r="I15" s="5" t="s">
        <v>155</v>
      </c>
      <c r="J15" s="5"/>
      <c r="K15" s="5" t="s">
        <v>160</v>
      </c>
    </row>
    <row r="16" spans="2:11" x14ac:dyDescent="0.3">
      <c r="B16" s="3" t="s">
        <v>161</v>
      </c>
      <c r="C16" s="5" t="s">
        <v>162</v>
      </c>
      <c r="D16" s="5" t="s">
        <v>162</v>
      </c>
      <c r="E16" s="5" t="s">
        <v>163</v>
      </c>
      <c r="F16" s="5" t="s">
        <v>164</v>
      </c>
      <c r="G16" s="5" t="s">
        <v>162</v>
      </c>
      <c r="H16" s="5" t="s">
        <v>164</v>
      </c>
      <c r="I16" s="5" t="s">
        <v>164</v>
      </c>
      <c r="J16" s="5" t="s">
        <v>164</v>
      </c>
      <c r="K16" s="5" t="s">
        <v>165</v>
      </c>
    </row>
    <row r="17" spans="2:11" x14ac:dyDescent="0.3">
      <c r="B17" s="3" t="s">
        <v>166</v>
      </c>
      <c r="C17" s="5" t="s">
        <v>167</v>
      </c>
      <c r="D17" s="5" t="s">
        <v>168</v>
      </c>
      <c r="E17" s="5" t="s">
        <v>164</v>
      </c>
      <c r="F17" s="5" t="s">
        <v>169</v>
      </c>
      <c r="G17" s="5" t="s">
        <v>168</v>
      </c>
      <c r="H17" s="5" t="s">
        <v>168</v>
      </c>
      <c r="I17" s="5" t="s">
        <v>162</v>
      </c>
      <c r="J17" s="5" t="s">
        <v>167</v>
      </c>
      <c r="K17" s="5" t="s">
        <v>170</v>
      </c>
    </row>
    <row r="18" spans="2:11" x14ac:dyDescent="0.3">
      <c r="B18" s="3" t="s">
        <v>171</v>
      </c>
      <c r="C18" s="5" t="s">
        <v>164</v>
      </c>
      <c r="D18" s="5" t="s">
        <v>164</v>
      </c>
      <c r="E18" s="5"/>
      <c r="F18" s="5" t="s">
        <v>168</v>
      </c>
      <c r="G18" s="12" t="s">
        <v>172</v>
      </c>
      <c r="H18" s="5" t="s">
        <v>169</v>
      </c>
      <c r="I18" s="5" t="s">
        <v>167</v>
      </c>
      <c r="J18" s="5"/>
      <c r="K18" s="5" t="s">
        <v>164</v>
      </c>
    </row>
    <row r="19" spans="2:11" x14ac:dyDescent="0.3">
      <c r="B19" s="3" t="s">
        <v>173</v>
      </c>
      <c r="C19" s="5" t="s">
        <v>174</v>
      </c>
      <c r="D19" s="5"/>
      <c r="E19" s="5"/>
      <c r="F19" s="5"/>
      <c r="G19" s="5" t="s">
        <v>164</v>
      </c>
      <c r="H19" s="5"/>
      <c r="I19" s="5" t="s">
        <v>168</v>
      </c>
      <c r="J19" s="5"/>
      <c r="K19" s="5" t="s">
        <v>168</v>
      </c>
    </row>
    <row r="20" spans="2:11" x14ac:dyDescent="0.3">
      <c r="B20" s="3" t="s">
        <v>175</v>
      </c>
      <c r="C20" s="5" t="s">
        <v>168</v>
      </c>
      <c r="D20" s="5"/>
      <c r="E20" s="5"/>
      <c r="F20" s="5"/>
      <c r="G20" s="5"/>
      <c r="H20" s="5"/>
      <c r="I20" s="12" t="s">
        <v>172</v>
      </c>
      <c r="J20" s="5"/>
      <c r="K20" s="5"/>
    </row>
    <row r="21" spans="2:11" x14ac:dyDescent="0.3">
      <c r="B21" s="3" t="s">
        <v>176</v>
      </c>
      <c r="C21" s="13"/>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4.4" x14ac:dyDescent="0.3"/>
  <cols>
    <col min="1" max="1" width="3.44140625" customWidth="1"/>
    <col min="2" max="2" width="11.33203125" customWidth="1"/>
    <col min="3" max="3" width="18.6640625" customWidth="1"/>
    <col min="4" max="5" width="11.6640625" customWidth="1"/>
    <col min="9" max="9" width="45.44140625" customWidth="1"/>
    <col min="10" max="10" width="13.5546875" customWidth="1"/>
    <col min="11" max="11" width="44.33203125" customWidth="1"/>
  </cols>
  <sheetData>
    <row r="1" spans="2:11" x14ac:dyDescent="0.3">
      <c r="B1" s="1" t="s">
        <v>127</v>
      </c>
    </row>
    <row r="2" spans="2:11" x14ac:dyDescent="0.3">
      <c r="B2" s="6">
        <v>46160</v>
      </c>
    </row>
    <row r="4" spans="2:11" ht="27.6" customHeight="1" x14ac:dyDescent="0.3">
      <c r="B4" s="7" t="s">
        <v>177</v>
      </c>
      <c r="C4" s="8" t="s">
        <v>178</v>
      </c>
      <c r="D4" s="8" t="s">
        <v>179</v>
      </c>
      <c r="E4" s="7" t="s">
        <v>1</v>
      </c>
      <c r="F4" s="7" t="s">
        <v>180</v>
      </c>
      <c r="G4" s="8" t="s">
        <v>181</v>
      </c>
      <c r="H4" s="8" t="s">
        <v>182</v>
      </c>
      <c r="I4" s="7" t="s">
        <v>183</v>
      </c>
      <c r="J4" s="7" t="s">
        <v>184</v>
      </c>
      <c r="K4" s="7" t="s">
        <v>185</v>
      </c>
    </row>
    <row r="5" spans="2:11" x14ac:dyDescent="0.3">
      <c r="B5" s="9">
        <v>670362</v>
      </c>
      <c r="C5" s="10" t="s">
        <v>209</v>
      </c>
      <c r="D5" s="10" t="s">
        <v>17</v>
      </c>
      <c r="E5" s="10" t="s">
        <v>186</v>
      </c>
      <c r="F5" s="9" t="s">
        <v>187</v>
      </c>
      <c r="G5" s="10" t="s">
        <v>188</v>
      </c>
      <c r="H5" s="10" t="s">
        <v>189</v>
      </c>
      <c r="I5" s="10" t="s">
        <v>412</v>
      </c>
      <c r="J5" s="11">
        <v>46142</v>
      </c>
      <c r="K5" s="10" t="s">
        <v>414</v>
      </c>
    </row>
    <row r="6" spans="2:11" x14ac:dyDescent="0.3">
      <c r="B6" s="9">
        <v>664364</v>
      </c>
      <c r="C6" s="10" t="s">
        <v>190</v>
      </c>
      <c r="D6" s="10" t="s">
        <v>17</v>
      </c>
      <c r="E6" s="10" t="s">
        <v>186</v>
      </c>
      <c r="F6" s="9" t="s">
        <v>187</v>
      </c>
      <c r="G6" s="10" t="s">
        <v>188</v>
      </c>
      <c r="H6" s="10" t="s">
        <v>191</v>
      </c>
      <c r="I6" s="10" t="s">
        <v>192</v>
      </c>
      <c r="J6" s="11">
        <v>46112</v>
      </c>
      <c r="K6" s="10"/>
    </row>
    <row r="7" spans="2:11" x14ac:dyDescent="0.3">
      <c r="B7" s="9">
        <v>705321</v>
      </c>
      <c r="C7" s="10" t="s">
        <v>195</v>
      </c>
      <c r="D7" s="10" t="s">
        <v>5</v>
      </c>
      <c r="E7" s="10" t="s">
        <v>196</v>
      </c>
      <c r="F7" s="9" t="s">
        <v>187</v>
      </c>
      <c r="G7" s="10" t="s">
        <v>188</v>
      </c>
      <c r="H7" s="10" t="s">
        <v>191</v>
      </c>
      <c r="I7" s="10" t="s">
        <v>197</v>
      </c>
      <c r="J7" s="11">
        <v>46112</v>
      </c>
      <c r="K7" s="10"/>
    </row>
    <row r="8" spans="2:11" x14ac:dyDescent="0.3">
      <c r="B8" s="9">
        <v>705320</v>
      </c>
      <c r="C8" s="10" t="s">
        <v>195</v>
      </c>
      <c r="D8" s="10" t="s">
        <v>5</v>
      </c>
      <c r="E8" s="10" t="s">
        <v>198</v>
      </c>
      <c r="F8" s="9" t="s">
        <v>187</v>
      </c>
      <c r="G8" s="10" t="s">
        <v>188</v>
      </c>
      <c r="H8" s="10" t="s">
        <v>191</v>
      </c>
      <c r="I8" s="10" t="s">
        <v>197</v>
      </c>
      <c r="J8" s="11">
        <v>46112</v>
      </c>
      <c r="K8" s="10"/>
    </row>
    <row r="9" spans="2:11" x14ac:dyDescent="0.3">
      <c r="B9" s="9">
        <v>690057</v>
      </c>
      <c r="C9" s="10" t="s">
        <v>210</v>
      </c>
      <c r="D9" s="10" t="s">
        <v>5</v>
      </c>
      <c r="E9" s="10" t="s">
        <v>196</v>
      </c>
      <c r="F9" s="9" t="s">
        <v>187</v>
      </c>
      <c r="G9" s="10" t="s">
        <v>188</v>
      </c>
      <c r="H9" s="10" t="s">
        <v>189</v>
      </c>
      <c r="I9" s="10" t="s">
        <v>413</v>
      </c>
      <c r="J9" s="11">
        <v>46142</v>
      </c>
      <c r="K9" s="10" t="s">
        <v>414</v>
      </c>
    </row>
    <row r="10" spans="2:11" x14ac:dyDescent="0.3">
      <c r="B10" s="9">
        <v>690057</v>
      </c>
      <c r="C10" s="10" t="s">
        <v>210</v>
      </c>
      <c r="D10" s="10" t="s">
        <v>5</v>
      </c>
      <c r="E10" s="10" t="s">
        <v>198</v>
      </c>
      <c r="F10" s="9" t="s">
        <v>187</v>
      </c>
      <c r="G10" s="10" t="s">
        <v>188</v>
      </c>
      <c r="H10" s="10" t="s">
        <v>189</v>
      </c>
      <c r="I10" s="10" t="s">
        <v>413</v>
      </c>
      <c r="J10" s="11">
        <v>46142</v>
      </c>
      <c r="K10" s="10" t="s">
        <v>414</v>
      </c>
    </row>
    <row r="11" spans="2:11" x14ac:dyDescent="0.3">
      <c r="B11" s="9">
        <v>701800</v>
      </c>
      <c r="C11" s="10" t="s">
        <v>211</v>
      </c>
      <c r="D11" s="10" t="s">
        <v>20</v>
      </c>
      <c r="E11" s="10" t="s">
        <v>200</v>
      </c>
      <c r="F11" s="9" t="s">
        <v>187</v>
      </c>
      <c r="G11" s="10" t="s">
        <v>188</v>
      </c>
      <c r="H11" s="10" t="s">
        <v>189</v>
      </c>
      <c r="I11" s="10" t="s">
        <v>212</v>
      </c>
      <c r="J11" s="11">
        <v>46142</v>
      </c>
      <c r="K11" s="10" t="s">
        <v>414</v>
      </c>
    </row>
    <row r="12" spans="2:11" x14ac:dyDescent="0.3">
      <c r="B12" s="9">
        <v>692690</v>
      </c>
      <c r="C12" s="10" t="s">
        <v>213</v>
      </c>
      <c r="D12" s="10" t="s">
        <v>25</v>
      </c>
      <c r="E12" s="10" t="s">
        <v>214</v>
      </c>
      <c r="F12" s="9" t="s">
        <v>187</v>
      </c>
      <c r="G12" s="10" t="s">
        <v>188</v>
      </c>
      <c r="H12" s="10" t="s">
        <v>189</v>
      </c>
      <c r="I12" s="10" t="s">
        <v>215</v>
      </c>
      <c r="J12" s="11">
        <v>46142</v>
      </c>
      <c r="K12" s="10" t="s">
        <v>414</v>
      </c>
    </row>
    <row r="13" spans="2:11" x14ac:dyDescent="0.3">
      <c r="B13" s="9">
        <v>701558</v>
      </c>
      <c r="C13" s="10" t="s">
        <v>417</v>
      </c>
      <c r="D13" s="10" t="s">
        <v>22</v>
      </c>
      <c r="E13" s="10" t="s">
        <v>418</v>
      </c>
      <c r="F13" s="9" t="s">
        <v>187</v>
      </c>
      <c r="G13" s="10" t="s">
        <v>188</v>
      </c>
      <c r="H13" s="10" t="s">
        <v>191</v>
      </c>
      <c r="I13" s="10" t="s">
        <v>419</v>
      </c>
      <c r="J13" s="11">
        <v>46112</v>
      </c>
      <c r="K13" s="10"/>
    </row>
    <row r="14" spans="2:11" x14ac:dyDescent="0.3">
      <c r="B14" s="9">
        <v>687164</v>
      </c>
      <c r="C14" s="10" t="s">
        <v>420</v>
      </c>
      <c r="D14" s="10" t="s">
        <v>22</v>
      </c>
      <c r="E14" s="10" t="s">
        <v>418</v>
      </c>
      <c r="F14" s="9" t="s">
        <v>187</v>
      </c>
      <c r="G14" s="10" t="s">
        <v>188</v>
      </c>
      <c r="H14" s="10" t="s">
        <v>189</v>
      </c>
      <c r="I14" s="10" t="s">
        <v>413</v>
      </c>
      <c r="J14" s="11">
        <v>46142</v>
      </c>
      <c r="K14" s="10" t="s">
        <v>414</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4.4" x14ac:dyDescent="0.3"/>
  <cols>
    <col min="1" max="1" width="3" customWidth="1"/>
    <col min="2" max="2" width="11.109375" customWidth="1"/>
    <col min="3" max="3" width="18.6640625" customWidth="1"/>
    <col min="4" max="4" width="12.33203125" customWidth="1"/>
    <col min="5" max="5" width="11.6640625" customWidth="1"/>
    <col min="6" max="7" width="8" customWidth="1"/>
    <col min="8" max="8" width="13.6640625" customWidth="1"/>
    <col min="9" max="9" width="28.6640625" customWidth="1"/>
    <col min="10" max="10" width="12.6640625" customWidth="1"/>
    <col min="11" max="11" width="14" customWidth="1"/>
  </cols>
  <sheetData>
    <row r="1" spans="2:11" x14ac:dyDescent="0.3">
      <c r="B1" s="1" t="s">
        <v>127</v>
      </c>
    </row>
    <row r="2" spans="2:11" x14ac:dyDescent="0.3">
      <c r="B2" s="6">
        <v>46160</v>
      </c>
    </row>
    <row r="4" spans="2:11" ht="41.4" customHeight="1" x14ac:dyDescent="0.3">
      <c r="B4" s="7" t="s">
        <v>177</v>
      </c>
      <c r="C4" s="8" t="s">
        <v>178</v>
      </c>
      <c r="D4" s="7" t="s">
        <v>202</v>
      </c>
      <c r="E4" s="7" t="s">
        <v>203</v>
      </c>
      <c r="F4" s="7" t="s">
        <v>180</v>
      </c>
      <c r="G4" s="8" t="s">
        <v>204</v>
      </c>
      <c r="H4" s="8" t="s">
        <v>205</v>
      </c>
      <c r="I4" s="7" t="s">
        <v>206</v>
      </c>
      <c r="J4" s="7" t="s">
        <v>207</v>
      </c>
      <c r="K4" s="8" t="s">
        <v>208</v>
      </c>
    </row>
    <row r="5" spans="2:11" ht="24" customHeight="1" x14ac:dyDescent="0.3">
      <c r="B5" s="10">
        <v>692694</v>
      </c>
      <c r="C5" s="10" t="s">
        <v>216</v>
      </c>
      <c r="D5" s="10" t="s">
        <v>25</v>
      </c>
      <c r="E5" s="10" t="s">
        <v>214</v>
      </c>
      <c r="F5" s="10" t="s">
        <v>187</v>
      </c>
      <c r="G5" s="10" t="s">
        <v>188</v>
      </c>
      <c r="H5" s="10" t="s">
        <v>191</v>
      </c>
      <c r="I5" s="10" t="s">
        <v>217</v>
      </c>
      <c r="J5" s="11">
        <v>46214</v>
      </c>
      <c r="K5" s="10">
        <f t="shared" ref="K5:K13" ca="1" si="0">J5-TODAY()</f>
        <v>54</v>
      </c>
    </row>
    <row r="6" spans="2:11" ht="24" customHeight="1" x14ac:dyDescent="0.3">
      <c r="B6" s="10">
        <v>701797</v>
      </c>
      <c r="C6" s="10" t="s">
        <v>218</v>
      </c>
      <c r="D6" s="10" t="s">
        <v>20</v>
      </c>
      <c r="E6" s="10" t="s">
        <v>200</v>
      </c>
      <c r="F6" s="10" t="s">
        <v>187</v>
      </c>
      <c r="G6" s="10" t="s">
        <v>188</v>
      </c>
      <c r="H6" s="10" t="s">
        <v>191</v>
      </c>
      <c r="I6" s="10" t="s">
        <v>201</v>
      </c>
      <c r="J6" s="11">
        <v>46249</v>
      </c>
      <c r="K6" s="10">
        <f t="shared" ca="1" si="0"/>
        <v>89</v>
      </c>
    </row>
    <row r="7" spans="2:11" x14ac:dyDescent="0.3">
      <c r="B7" s="10">
        <v>691923</v>
      </c>
      <c r="C7" s="10" t="s">
        <v>199</v>
      </c>
      <c r="D7" s="10" t="s">
        <v>5</v>
      </c>
      <c r="E7" s="10" t="s">
        <v>196</v>
      </c>
      <c r="F7" s="10" t="s">
        <v>187</v>
      </c>
      <c r="G7" s="10" t="s">
        <v>188</v>
      </c>
      <c r="H7" s="10" t="s">
        <v>191</v>
      </c>
      <c r="I7" s="10" t="s">
        <v>219</v>
      </c>
      <c r="J7" s="11">
        <v>46265</v>
      </c>
      <c r="K7" s="10">
        <f t="shared" ca="1" si="0"/>
        <v>105</v>
      </c>
    </row>
    <row r="8" spans="2:11" x14ac:dyDescent="0.3">
      <c r="B8" s="10">
        <v>691920</v>
      </c>
      <c r="C8" s="10" t="s">
        <v>199</v>
      </c>
      <c r="D8" s="10" t="s">
        <v>5</v>
      </c>
      <c r="E8" s="10" t="s">
        <v>198</v>
      </c>
      <c r="F8" s="10" t="s">
        <v>187</v>
      </c>
      <c r="G8" s="10" t="s">
        <v>188</v>
      </c>
      <c r="H8" s="10" t="s">
        <v>191</v>
      </c>
      <c r="I8" s="10" t="s">
        <v>219</v>
      </c>
      <c r="J8" s="11">
        <v>46265</v>
      </c>
      <c r="K8" s="10">
        <f t="shared" ca="1" si="0"/>
        <v>105</v>
      </c>
    </row>
    <row r="9" spans="2:11" ht="24" customHeight="1" x14ac:dyDescent="0.3">
      <c r="B9" s="10">
        <v>692683</v>
      </c>
      <c r="C9" s="10" t="s">
        <v>220</v>
      </c>
      <c r="D9" s="10" t="s">
        <v>25</v>
      </c>
      <c r="E9" s="10" t="s">
        <v>214</v>
      </c>
      <c r="F9" s="10" t="s">
        <v>187</v>
      </c>
      <c r="G9" s="10" t="s">
        <v>188</v>
      </c>
      <c r="H9" s="10" t="s">
        <v>191</v>
      </c>
      <c r="I9" s="10" t="s">
        <v>221</v>
      </c>
      <c r="J9" s="11">
        <v>46280</v>
      </c>
      <c r="K9" s="10">
        <f t="shared" ca="1" si="0"/>
        <v>120</v>
      </c>
    </row>
    <row r="10" spans="2:11" ht="24" customHeight="1" x14ac:dyDescent="0.3">
      <c r="B10" s="10">
        <v>701675</v>
      </c>
      <c r="C10" s="10" t="s">
        <v>210</v>
      </c>
      <c r="D10" s="10" t="s">
        <v>17</v>
      </c>
      <c r="E10" s="10" t="s">
        <v>186</v>
      </c>
      <c r="F10" s="10" t="s">
        <v>187</v>
      </c>
      <c r="G10" s="10" t="s">
        <v>188</v>
      </c>
      <c r="H10" s="10" t="s">
        <v>191</v>
      </c>
      <c r="I10" s="10" t="s">
        <v>194</v>
      </c>
      <c r="J10" s="11">
        <v>46282</v>
      </c>
      <c r="K10" s="10">
        <f t="shared" ca="1" si="0"/>
        <v>122</v>
      </c>
    </row>
    <row r="11" spans="2:11" ht="24" x14ac:dyDescent="0.3">
      <c r="B11" s="10">
        <v>664339</v>
      </c>
      <c r="C11" s="10" t="s">
        <v>193</v>
      </c>
      <c r="D11" s="10" t="s">
        <v>17</v>
      </c>
      <c r="E11" s="10" t="s">
        <v>186</v>
      </c>
      <c r="F11" s="10" t="s">
        <v>187</v>
      </c>
      <c r="G11" s="10" t="s">
        <v>188</v>
      </c>
      <c r="H11" s="10" t="s">
        <v>191</v>
      </c>
      <c r="I11" s="10" t="s">
        <v>194</v>
      </c>
      <c r="J11" s="11">
        <v>46282</v>
      </c>
      <c r="K11" s="10">
        <f t="shared" ca="1" si="0"/>
        <v>122</v>
      </c>
    </row>
    <row r="12" spans="2:11" ht="24" customHeight="1" x14ac:dyDescent="0.3">
      <c r="B12" s="10">
        <v>191156</v>
      </c>
      <c r="C12" s="10" t="s">
        <v>415</v>
      </c>
      <c r="D12" s="10" t="s">
        <v>5</v>
      </c>
      <c r="E12" s="10" t="s">
        <v>196</v>
      </c>
      <c r="F12" s="10" t="s">
        <v>187</v>
      </c>
      <c r="G12" s="10" t="s">
        <v>188</v>
      </c>
      <c r="H12" s="10" t="s">
        <v>189</v>
      </c>
      <c r="I12" s="10" t="s">
        <v>416</v>
      </c>
      <c r="J12" s="11">
        <v>46339</v>
      </c>
      <c r="K12" s="10">
        <f t="shared" ca="1" si="0"/>
        <v>179</v>
      </c>
    </row>
    <row r="13" spans="2:11" x14ac:dyDescent="0.3">
      <c r="B13" s="10">
        <v>191155</v>
      </c>
      <c r="C13" s="10" t="s">
        <v>415</v>
      </c>
      <c r="D13" s="10" t="s">
        <v>5</v>
      </c>
      <c r="E13" s="10" t="s">
        <v>198</v>
      </c>
      <c r="F13" s="10" t="s">
        <v>187</v>
      </c>
      <c r="G13" s="10" t="s">
        <v>188</v>
      </c>
      <c r="H13" s="10" t="s">
        <v>189</v>
      </c>
      <c r="I13" s="10" t="s">
        <v>416</v>
      </c>
      <c r="J13" s="11">
        <v>46339</v>
      </c>
      <c r="K13" s="10">
        <f t="shared" ca="1" si="0"/>
        <v>179</v>
      </c>
    </row>
    <row r="14" spans="2:11" ht="24" x14ac:dyDescent="0.3">
      <c r="B14" s="10">
        <v>701540</v>
      </c>
      <c r="C14" s="10" t="s">
        <v>421</v>
      </c>
      <c r="D14" s="10" t="s">
        <v>22</v>
      </c>
      <c r="E14" s="10" t="s">
        <v>418</v>
      </c>
      <c r="F14" s="10" t="s">
        <v>187</v>
      </c>
      <c r="G14" s="10" t="s">
        <v>188</v>
      </c>
      <c r="H14" s="10" t="s">
        <v>422</v>
      </c>
      <c r="I14" s="10" t="s">
        <v>201</v>
      </c>
      <c r="J14" s="11">
        <v>46266</v>
      </c>
      <c r="K14" s="10">
        <f t="shared" ref="K14:K15" ca="1" si="1">J14-TODAY()</f>
        <v>106</v>
      </c>
    </row>
    <row r="15" spans="2:11" x14ac:dyDescent="0.3">
      <c r="B15" s="10">
        <v>701557</v>
      </c>
      <c r="C15" s="10" t="s">
        <v>216</v>
      </c>
      <c r="D15" s="10" t="s">
        <v>22</v>
      </c>
      <c r="E15" s="10" t="s">
        <v>418</v>
      </c>
      <c r="F15" s="10" t="s">
        <v>187</v>
      </c>
      <c r="G15" s="10" t="s">
        <v>188</v>
      </c>
      <c r="H15" s="10" t="s">
        <v>191</v>
      </c>
      <c r="I15" s="10" t="s">
        <v>217</v>
      </c>
      <c r="J15" s="11">
        <v>46326</v>
      </c>
      <c r="K15" s="10">
        <f t="shared" ca="1" si="1"/>
        <v>166</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33"/>
  <sheetViews>
    <sheetView zoomScale="70" zoomScaleNormal="70" workbookViewId="0">
      <selection activeCell="B2" sqref="B2"/>
    </sheetView>
  </sheetViews>
  <sheetFormatPr defaultColWidth="8.88671875" defaultRowHeight="14.4" x14ac:dyDescent="0.3"/>
  <cols>
    <col min="1" max="1" width="2.6640625" style="2" customWidth="1"/>
    <col min="2" max="2" width="12" style="2" customWidth="1"/>
    <col min="3" max="3" width="46.5546875" style="2" customWidth="1"/>
    <col min="4" max="4" width="12.33203125" style="2" customWidth="1"/>
    <col min="5" max="5" width="39.6640625" style="2" customWidth="1"/>
    <col min="6" max="6" width="37.109375" style="2" customWidth="1"/>
    <col min="7" max="7" width="69.33203125" style="2" customWidth="1"/>
    <col min="8" max="8" width="8.88671875" style="2" customWidth="1"/>
    <col min="9" max="16384" width="8.88671875" style="2"/>
  </cols>
  <sheetData>
    <row r="2" spans="2:7" ht="37.5" customHeight="1" thickBot="1" x14ac:dyDescent="0.35">
      <c r="B2" s="45" t="s">
        <v>222</v>
      </c>
    </row>
    <row r="3" spans="2:7" ht="18.600000000000001" customHeight="1" thickBot="1" x14ac:dyDescent="0.35">
      <c r="B3" s="15" t="s">
        <v>223</v>
      </c>
      <c r="C3" s="16" t="s">
        <v>224</v>
      </c>
      <c r="D3" s="16" t="s">
        <v>225</v>
      </c>
      <c r="E3" s="16" t="s">
        <v>226</v>
      </c>
      <c r="F3" s="16" t="s">
        <v>227</v>
      </c>
      <c r="G3" s="17" t="s">
        <v>228</v>
      </c>
    </row>
    <row r="4" spans="2:7" ht="28.95" customHeight="1" x14ac:dyDescent="0.3">
      <c r="B4" s="18" t="s">
        <v>17</v>
      </c>
      <c r="C4" s="19" t="s">
        <v>229</v>
      </c>
      <c r="D4" s="20" t="s">
        <v>230</v>
      </c>
      <c r="E4" s="21"/>
      <c r="F4" s="21"/>
      <c r="G4" s="22" t="s">
        <v>231</v>
      </c>
    </row>
    <row r="5" spans="2:7" ht="28.95" customHeight="1" x14ac:dyDescent="0.3">
      <c r="B5" s="23" t="s">
        <v>17</v>
      </c>
      <c r="C5" s="24" t="s">
        <v>232</v>
      </c>
      <c r="D5" s="25" t="s">
        <v>233</v>
      </c>
      <c r="G5" s="26" t="s">
        <v>231</v>
      </c>
    </row>
    <row r="6" spans="2:7" ht="28.95" customHeight="1" x14ac:dyDescent="0.3">
      <c r="B6" s="23" t="s">
        <v>17</v>
      </c>
      <c r="C6" s="24" t="s">
        <v>234</v>
      </c>
      <c r="D6" s="27" t="s">
        <v>235</v>
      </c>
      <c r="E6" s="2" t="s">
        <v>236</v>
      </c>
      <c r="F6" s="24" t="s">
        <v>237</v>
      </c>
      <c r="G6" s="26" t="s">
        <v>231</v>
      </c>
    </row>
    <row r="7" spans="2:7" ht="43.2" customHeight="1" x14ac:dyDescent="0.3">
      <c r="B7" s="23" t="s">
        <v>17</v>
      </c>
      <c r="C7" s="24" t="s">
        <v>238</v>
      </c>
      <c r="D7" s="25" t="s">
        <v>233</v>
      </c>
      <c r="E7" s="24" t="s">
        <v>239</v>
      </c>
      <c r="F7" s="24" t="s">
        <v>240</v>
      </c>
      <c r="G7" s="26" t="s">
        <v>231</v>
      </c>
    </row>
    <row r="8" spans="2:7" ht="57.6" customHeight="1" x14ac:dyDescent="0.3">
      <c r="B8" s="28" t="s">
        <v>17</v>
      </c>
      <c r="C8" s="29" t="s">
        <v>241</v>
      </c>
      <c r="D8" s="30" t="s">
        <v>230</v>
      </c>
      <c r="E8" s="31"/>
      <c r="F8" s="31"/>
      <c r="G8" s="32" t="s">
        <v>242</v>
      </c>
    </row>
    <row r="9" spans="2:7" ht="57.6" customHeight="1" x14ac:dyDescent="0.3">
      <c r="B9" s="23" t="s">
        <v>17</v>
      </c>
      <c r="C9" s="24" t="s">
        <v>243</v>
      </c>
      <c r="D9" s="25" t="s">
        <v>233</v>
      </c>
      <c r="G9" s="26" t="s">
        <v>242</v>
      </c>
    </row>
    <row r="10" spans="2:7" ht="57.6" customHeight="1" x14ac:dyDescent="0.3">
      <c r="B10" s="23" t="s">
        <v>17</v>
      </c>
      <c r="C10" s="24" t="s">
        <v>244</v>
      </c>
      <c r="D10" s="27" t="s">
        <v>235</v>
      </c>
      <c r="E10" s="24" t="s">
        <v>245</v>
      </c>
      <c r="F10" s="24" t="s">
        <v>237</v>
      </c>
      <c r="G10" s="26" t="s">
        <v>242</v>
      </c>
    </row>
    <row r="11" spans="2:7" ht="58.2" customHeight="1" thickBot="1" x14ac:dyDescent="0.35">
      <c r="B11" s="33" t="s">
        <v>17</v>
      </c>
      <c r="C11" s="34" t="s">
        <v>246</v>
      </c>
      <c r="D11" s="35" t="s">
        <v>233</v>
      </c>
      <c r="E11" s="36"/>
      <c r="F11" s="36"/>
      <c r="G11" s="37" t="s">
        <v>242</v>
      </c>
    </row>
    <row r="12" spans="2:7" ht="43.2" customHeight="1" x14ac:dyDescent="0.3">
      <c r="B12" s="18" t="s">
        <v>22</v>
      </c>
      <c r="C12" s="19" t="s">
        <v>247</v>
      </c>
      <c r="D12" s="38" t="s">
        <v>235</v>
      </c>
      <c r="E12" s="19" t="s">
        <v>248</v>
      </c>
      <c r="F12" s="19" t="s">
        <v>249</v>
      </c>
      <c r="G12" s="22" t="s">
        <v>250</v>
      </c>
    </row>
    <row r="13" spans="2:7" ht="43.95" customHeight="1" thickBot="1" x14ac:dyDescent="0.35">
      <c r="B13" s="33" t="s">
        <v>22</v>
      </c>
      <c r="C13" s="34" t="s">
        <v>251</v>
      </c>
      <c r="D13" s="35" t="s">
        <v>233</v>
      </c>
      <c r="E13" s="34" t="s">
        <v>252</v>
      </c>
      <c r="F13" s="34" t="s">
        <v>237</v>
      </c>
      <c r="G13" s="37" t="s">
        <v>250</v>
      </c>
    </row>
    <row r="14" spans="2:7" ht="29.4" customHeight="1" thickBot="1" x14ac:dyDescent="0.35">
      <c r="B14" s="39" t="s">
        <v>22</v>
      </c>
      <c r="C14" s="40" t="s">
        <v>253</v>
      </c>
      <c r="D14" s="41" t="s">
        <v>233</v>
      </c>
      <c r="E14" s="40" t="s">
        <v>254</v>
      </c>
      <c r="F14" s="42" t="s">
        <v>255</v>
      </c>
      <c r="G14" s="43" t="s">
        <v>256</v>
      </c>
    </row>
    <row r="15" spans="2:7" ht="28.95" customHeight="1" x14ac:dyDescent="0.3">
      <c r="B15" s="18" t="s">
        <v>22</v>
      </c>
      <c r="C15" s="19" t="s">
        <v>257</v>
      </c>
      <c r="D15" s="20" t="s">
        <v>233</v>
      </c>
      <c r="E15" s="19" t="s">
        <v>258</v>
      </c>
      <c r="F15" s="19" t="s">
        <v>237</v>
      </c>
      <c r="G15" s="22" t="s">
        <v>259</v>
      </c>
    </row>
    <row r="16" spans="2:7" ht="28.95" customHeight="1" x14ac:dyDescent="0.3">
      <c r="B16" s="23" t="s">
        <v>22</v>
      </c>
      <c r="C16" s="24" t="s">
        <v>260</v>
      </c>
      <c r="D16" s="25" t="s">
        <v>233</v>
      </c>
      <c r="E16" s="24" t="s">
        <v>261</v>
      </c>
      <c r="G16" s="26" t="s">
        <v>259</v>
      </c>
    </row>
    <row r="17" spans="2:7" ht="29.4" customHeight="1" thickBot="1" x14ac:dyDescent="0.35">
      <c r="B17" s="33" t="s">
        <v>22</v>
      </c>
      <c r="C17" s="34" t="s">
        <v>262</v>
      </c>
      <c r="D17" s="35" t="s">
        <v>233</v>
      </c>
      <c r="E17" s="34" t="s">
        <v>263</v>
      </c>
      <c r="F17" s="36"/>
      <c r="G17" s="37" t="s">
        <v>259</v>
      </c>
    </row>
    <row r="18" spans="2:7" ht="137.25" customHeight="1" x14ac:dyDescent="0.3">
      <c r="B18" s="18" t="s">
        <v>25</v>
      </c>
      <c r="C18" s="21" t="s">
        <v>264</v>
      </c>
      <c r="D18" s="38" t="s">
        <v>235</v>
      </c>
      <c r="E18" s="19" t="s">
        <v>265</v>
      </c>
      <c r="F18" s="19" t="s">
        <v>266</v>
      </c>
      <c r="G18" s="22" t="s">
        <v>267</v>
      </c>
    </row>
    <row r="19" spans="2:7" ht="81" customHeight="1" thickBot="1" x14ac:dyDescent="0.35">
      <c r="B19" s="23" t="s">
        <v>25</v>
      </c>
      <c r="C19" s="2" t="s">
        <v>268</v>
      </c>
      <c r="D19" s="25" t="s">
        <v>233</v>
      </c>
      <c r="E19" s="24" t="s">
        <v>269</v>
      </c>
      <c r="F19" s="24" t="s">
        <v>270</v>
      </c>
      <c r="G19" s="26" t="s">
        <v>271</v>
      </c>
    </row>
    <row r="20" spans="2:7" ht="42.75" customHeight="1" x14ac:dyDescent="0.3">
      <c r="B20" s="18" t="s">
        <v>11</v>
      </c>
      <c r="C20" s="21" t="s">
        <v>272</v>
      </c>
      <c r="D20" s="20" t="s">
        <v>233</v>
      </c>
      <c r="E20" s="19" t="s">
        <v>273</v>
      </c>
      <c r="F20" s="21"/>
      <c r="G20" s="44"/>
    </row>
    <row r="21" spans="2:7" ht="80.25" customHeight="1" thickBot="1" x14ac:dyDescent="0.35">
      <c r="B21" s="23" t="s">
        <v>11</v>
      </c>
      <c r="C21" s="2" t="s">
        <v>274</v>
      </c>
      <c r="D21" s="27" t="s">
        <v>235</v>
      </c>
      <c r="E21" s="24" t="s">
        <v>275</v>
      </c>
      <c r="F21" s="24" t="s">
        <v>276</v>
      </c>
      <c r="G21" s="26" t="s">
        <v>277</v>
      </c>
    </row>
    <row r="22" spans="2:7" ht="99" customHeight="1" x14ac:dyDescent="0.3">
      <c r="B22" s="18" t="s">
        <v>20</v>
      </c>
      <c r="C22" s="19" t="s">
        <v>278</v>
      </c>
      <c r="D22" s="38" t="s">
        <v>235</v>
      </c>
      <c r="E22" s="21" t="s">
        <v>279</v>
      </c>
      <c r="F22" s="19" t="s">
        <v>280</v>
      </c>
      <c r="G22" s="22" t="s">
        <v>281</v>
      </c>
    </row>
    <row r="23" spans="2:7" ht="86.4" customHeight="1" x14ac:dyDescent="0.3">
      <c r="B23" s="23" t="s">
        <v>20</v>
      </c>
      <c r="C23" s="24" t="s">
        <v>278</v>
      </c>
      <c r="D23" s="25" t="s">
        <v>233</v>
      </c>
      <c r="E23" s="2" t="s">
        <v>282</v>
      </c>
      <c r="F23" s="24" t="s">
        <v>283</v>
      </c>
      <c r="G23" s="26" t="s">
        <v>281</v>
      </c>
    </row>
    <row r="24" spans="2:7" ht="104.25" customHeight="1" x14ac:dyDescent="0.3">
      <c r="B24" s="23" t="s">
        <v>20</v>
      </c>
      <c r="C24" s="24" t="s">
        <v>284</v>
      </c>
      <c r="D24" s="27" t="s">
        <v>235</v>
      </c>
      <c r="E24" s="24" t="s">
        <v>285</v>
      </c>
      <c r="F24" s="24" t="s">
        <v>286</v>
      </c>
      <c r="G24" s="26" t="s">
        <v>281</v>
      </c>
    </row>
    <row r="25" spans="2:7" ht="46.5" customHeight="1" thickBot="1" x14ac:dyDescent="0.35">
      <c r="B25" s="23" t="s">
        <v>20</v>
      </c>
      <c r="C25" s="24" t="s">
        <v>287</v>
      </c>
      <c r="D25" s="27" t="s">
        <v>235</v>
      </c>
      <c r="E25" s="2" t="s">
        <v>288</v>
      </c>
      <c r="F25" s="2" t="s">
        <v>289</v>
      </c>
      <c r="G25" s="46" t="s">
        <v>290</v>
      </c>
    </row>
    <row r="26" spans="2:7" ht="100.95" customHeight="1" x14ac:dyDescent="0.3">
      <c r="B26" s="18" t="s">
        <v>291</v>
      </c>
      <c r="C26" s="19" t="s">
        <v>292</v>
      </c>
      <c r="D26" s="20" t="s">
        <v>233</v>
      </c>
      <c r="E26" s="19" t="s">
        <v>293</v>
      </c>
      <c r="F26" s="84" t="s">
        <v>294</v>
      </c>
      <c r="G26" s="22" t="s">
        <v>295</v>
      </c>
    </row>
    <row r="27" spans="2:7" ht="43.2" customHeight="1" x14ac:dyDescent="0.3">
      <c r="B27" s="23" t="s">
        <v>291</v>
      </c>
      <c r="C27" s="24" t="s">
        <v>296</v>
      </c>
      <c r="D27" s="25" t="s">
        <v>233</v>
      </c>
      <c r="E27" s="24" t="s">
        <v>297</v>
      </c>
      <c r="F27" s="85"/>
      <c r="G27" s="26" t="s">
        <v>298</v>
      </c>
    </row>
    <row r="28" spans="2:7" ht="43.95" customHeight="1" thickBot="1" x14ac:dyDescent="0.35">
      <c r="B28" s="23" t="s">
        <v>291</v>
      </c>
      <c r="C28" s="24" t="s">
        <v>296</v>
      </c>
      <c r="D28" s="25" t="s">
        <v>233</v>
      </c>
      <c r="E28" s="24" t="s">
        <v>299</v>
      </c>
      <c r="F28" s="85"/>
      <c r="G28" s="26" t="s">
        <v>298</v>
      </c>
    </row>
    <row r="29" spans="2:7" ht="195" customHeight="1" x14ac:dyDescent="0.3">
      <c r="B29" s="18" t="s">
        <v>5</v>
      </c>
      <c r="C29" s="21" t="s">
        <v>300</v>
      </c>
      <c r="D29" s="20" t="s">
        <v>230</v>
      </c>
      <c r="E29" s="19" t="s">
        <v>301</v>
      </c>
      <c r="F29" s="19" t="s">
        <v>302</v>
      </c>
      <c r="G29" s="22" t="s">
        <v>303</v>
      </c>
    </row>
    <row r="30" spans="2:7" ht="188.4" customHeight="1" x14ac:dyDescent="0.3">
      <c r="B30" s="23" t="s">
        <v>5</v>
      </c>
      <c r="C30" s="2" t="s">
        <v>304</v>
      </c>
      <c r="D30" s="25" t="s">
        <v>230</v>
      </c>
      <c r="E30" s="24" t="s">
        <v>305</v>
      </c>
      <c r="F30" s="24" t="s">
        <v>302</v>
      </c>
      <c r="G30" s="26" t="s">
        <v>306</v>
      </c>
    </row>
    <row r="31" spans="2:7" ht="193.95" customHeight="1" x14ac:dyDescent="0.3">
      <c r="B31" s="23" t="s">
        <v>5</v>
      </c>
      <c r="C31" s="2" t="s">
        <v>307</v>
      </c>
      <c r="D31" s="27" t="s">
        <v>235</v>
      </c>
      <c r="E31" s="24" t="s">
        <v>308</v>
      </c>
      <c r="F31" s="24" t="s">
        <v>309</v>
      </c>
      <c r="G31" s="26" t="s">
        <v>310</v>
      </c>
    </row>
    <row r="32" spans="2:7" ht="30.6" customHeight="1" x14ac:dyDescent="0.3">
      <c r="B32" s="23" t="s">
        <v>5</v>
      </c>
      <c r="C32" s="2" t="s">
        <v>311</v>
      </c>
      <c r="D32" s="25" t="s">
        <v>230</v>
      </c>
      <c r="F32" s="24" t="s">
        <v>302</v>
      </c>
      <c r="G32" s="26" t="s">
        <v>312</v>
      </c>
    </row>
    <row r="33" spans="2:7" ht="87" customHeight="1" thickBot="1" x14ac:dyDescent="0.35">
      <c r="B33" s="33" t="s">
        <v>5</v>
      </c>
      <c r="C33" s="36" t="s">
        <v>313</v>
      </c>
      <c r="D33" s="35" t="s">
        <v>230</v>
      </c>
      <c r="E33" s="36"/>
      <c r="F33" s="34" t="s">
        <v>302</v>
      </c>
      <c r="G33" s="37" t="s">
        <v>314</v>
      </c>
    </row>
  </sheetData>
  <autoFilter ref="B3:G26" xr:uid="{00000000-0009-0000-0000-000004000000}"/>
  <mergeCells count="1">
    <mergeCell ref="F26:F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S14"/>
  <sheetViews>
    <sheetView topLeftCell="A3" workbookViewId="0">
      <selection activeCell="F7" sqref="F7"/>
    </sheetView>
  </sheetViews>
  <sheetFormatPr defaultRowHeight="14.4" x14ac:dyDescent="0.3"/>
  <cols>
    <col min="2" max="2" width="12" customWidth="1"/>
    <col min="3" max="3" width="57.109375" customWidth="1"/>
    <col min="4" max="4" width="13.6640625" customWidth="1"/>
    <col min="5" max="5" width="14.33203125" customWidth="1"/>
    <col min="6" max="7" width="19.33203125" customWidth="1"/>
    <col min="8" max="8" width="15" customWidth="1"/>
    <col min="9" max="9" width="11.88671875" customWidth="1"/>
    <col min="10" max="10" width="10.6640625" customWidth="1"/>
    <col min="11" max="11" width="9.88671875" customWidth="1"/>
    <col min="12" max="13" width="10.5546875" customWidth="1"/>
    <col min="14" max="14" width="7.88671875" customWidth="1"/>
    <col min="15" max="15" width="62.44140625" customWidth="1"/>
    <col min="16" max="16" width="45" customWidth="1"/>
    <col min="18" max="19" width="9.44140625" bestFit="1" customWidth="1"/>
  </cols>
  <sheetData>
    <row r="2" spans="2:19" ht="21" customHeight="1" x14ac:dyDescent="0.4">
      <c r="B2" s="67" t="s">
        <v>315</v>
      </c>
      <c r="C2" s="67"/>
      <c r="D2" s="67"/>
      <c r="E2" s="67"/>
    </row>
    <row r="4" spans="2:19" ht="43.2" customHeight="1" x14ac:dyDescent="0.3">
      <c r="B4" s="80" t="s">
        <v>179</v>
      </c>
      <c r="C4" s="80" t="s">
        <v>411</v>
      </c>
      <c r="D4" s="81" t="s">
        <v>399</v>
      </c>
      <c r="E4" s="81" t="s">
        <v>400</v>
      </c>
      <c r="F4" s="76" t="s">
        <v>399</v>
      </c>
      <c r="G4" s="65" t="s">
        <v>400</v>
      </c>
      <c r="H4" s="66" t="s">
        <v>316</v>
      </c>
      <c r="I4" s="66" t="s">
        <v>317</v>
      </c>
      <c r="J4" s="66" t="s">
        <v>318</v>
      </c>
      <c r="K4" s="66" t="s">
        <v>319</v>
      </c>
      <c r="L4" s="66" t="s">
        <v>320</v>
      </c>
      <c r="M4" s="66" t="s">
        <v>321</v>
      </c>
      <c r="N4" s="66" t="s">
        <v>322</v>
      </c>
      <c r="O4" s="65" t="s">
        <v>323</v>
      </c>
      <c r="P4" s="65" t="s">
        <v>324</v>
      </c>
    </row>
    <row r="5" spans="2:19" ht="32.25" customHeight="1" x14ac:dyDescent="0.3">
      <c r="B5" s="77" t="s">
        <v>5</v>
      </c>
      <c r="C5" s="77" t="s">
        <v>401</v>
      </c>
      <c r="D5" s="78"/>
      <c r="E5" s="77"/>
      <c r="F5" s="72" t="s">
        <v>325</v>
      </c>
      <c r="G5" s="48" t="str">
        <f>+F5</f>
        <v>ALERTA</v>
      </c>
      <c r="H5" s="52">
        <v>0.77</v>
      </c>
      <c r="I5" s="53" t="s">
        <v>326</v>
      </c>
      <c r="J5" s="54">
        <v>1</v>
      </c>
      <c r="K5" s="53" t="s">
        <v>326</v>
      </c>
      <c r="L5" s="54">
        <v>1.01</v>
      </c>
      <c r="M5" s="51" t="s">
        <v>326</v>
      </c>
      <c r="N5" s="49">
        <v>2</v>
      </c>
      <c r="O5" s="47" t="s">
        <v>327</v>
      </c>
      <c r="P5" s="47" t="s">
        <v>328</v>
      </c>
    </row>
    <row r="6" spans="2:19" ht="32.25" customHeight="1" x14ac:dyDescent="0.3">
      <c r="B6" s="77" t="s">
        <v>11</v>
      </c>
      <c r="C6" s="77" t="s">
        <v>402</v>
      </c>
      <c r="D6" s="77"/>
      <c r="E6" s="78"/>
      <c r="F6" s="73" t="s">
        <v>329</v>
      </c>
      <c r="G6" s="50" t="str">
        <f>+F6</f>
        <v>SATISFACTORIO</v>
      </c>
      <c r="H6" s="56">
        <v>0.97</v>
      </c>
      <c r="I6" s="53" t="s">
        <v>326</v>
      </c>
      <c r="J6" s="54">
        <v>0.95</v>
      </c>
      <c r="K6" s="53" t="s">
        <v>326</v>
      </c>
      <c r="L6" s="54">
        <v>1.05</v>
      </c>
      <c r="M6" s="55">
        <v>6</v>
      </c>
      <c r="N6" s="49">
        <v>3</v>
      </c>
      <c r="O6" s="47" t="s">
        <v>330</v>
      </c>
      <c r="P6" s="47" t="s">
        <v>326</v>
      </c>
    </row>
    <row r="7" spans="2:19" ht="32.25" customHeight="1" x14ac:dyDescent="0.3">
      <c r="B7" s="77" t="s">
        <v>20</v>
      </c>
      <c r="C7" s="77" t="s">
        <v>403</v>
      </c>
      <c r="D7" s="77"/>
      <c r="E7" s="77"/>
      <c r="F7" s="73" t="s">
        <v>329</v>
      </c>
      <c r="G7" s="50" t="str">
        <f t="shared" ref="G7:G14" si="0">+F7</f>
        <v>SATISFACTORIO</v>
      </c>
      <c r="H7" s="56">
        <v>0.65000000000000191</v>
      </c>
      <c r="I7" s="57">
        <v>0.55202837426136353</v>
      </c>
      <c r="J7" s="54">
        <v>0.98070203221697061</v>
      </c>
      <c r="K7" s="54">
        <v>0.99829990031034122</v>
      </c>
      <c r="L7" s="54">
        <v>1.0760758704453901</v>
      </c>
      <c r="M7" s="51" t="s">
        <v>326</v>
      </c>
      <c r="N7" s="49">
        <v>2</v>
      </c>
      <c r="O7" s="47" t="s">
        <v>331</v>
      </c>
      <c r="P7" s="47" t="s">
        <v>332</v>
      </c>
    </row>
    <row r="8" spans="2:19" ht="32.25" customHeight="1" x14ac:dyDescent="0.3">
      <c r="B8" s="77" t="s">
        <v>25</v>
      </c>
      <c r="C8" s="77" t="s">
        <v>404</v>
      </c>
      <c r="D8" s="77"/>
      <c r="E8" s="77"/>
      <c r="F8" s="73" t="s">
        <v>329</v>
      </c>
      <c r="G8" s="50" t="str">
        <f t="shared" si="0"/>
        <v>SATISFACTORIO</v>
      </c>
      <c r="H8" s="58">
        <v>0.04</v>
      </c>
      <c r="I8" s="54">
        <v>1.39</v>
      </c>
      <c r="J8" s="54">
        <v>1.39</v>
      </c>
      <c r="K8" s="54">
        <v>1</v>
      </c>
      <c r="L8" s="54">
        <v>1</v>
      </c>
      <c r="M8" s="51" t="s">
        <v>326</v>
      </c>
      <c r="N8" s="49">
        <v>2</v>
      </c>
      <c r="O8" s="47" t="s">
        <v>333</v>
      </c>
      <c r="P8" s="47" t="s">
        <v>334</v>
      </c>
    </row>
    <row r="9" spans="2:19" ht="32.25" customHeight="1" x14ac:dyDescent="0.3">
      <c r="B9" s="77" t="s">
        <v>17</v>
      </c>
      <c r="C9" s="77" t="s">
        <v>405</v>
      </c>
      <c r="D9" s="77"/>
      <c r="E9" s="77"/>
      <c r="F9" s="72" t="s">
        <v>325</v>
      </c>
      <c r="G9" s="50" t="s">
        <v>329</v>
      </c>
      <c r="H9" s="56">
        <v>0.65</v>
      </c>
      <c r="I9" s="53" t="s">
        <v>326</v>
      </c>
      <c r="J9" s="57">
        <v>0.75</v>
      </c>
      <c r="K9" s="53" t="s">
        <v>326</v>
      </c>
      <c r="L9" s="57">
        <v>0.74</v>
      </c>
      <c r="M9" s="51" t="s">
        <v>326</v>
      </c>
      <c r="N9" s="49">
        <v>2</v>
      </c>
      <c r="O9" s="47" t="s">
        <v>335</v>
      </c>
      <c r="P9" s="47" t="s">
        <v>336</v>
      </c>
    </row>
    <row r="10" spans="2:19" ht="32.25" customHeight="1" x14ac:dyDescent="0.3">
      <c r="B10" s="77" t="s">
        <v>22</v>
      </c>
      <c r="C10" s="77" t="s">
        <v>406</v>
      </c>
      <c r="D10" s="77"/>
      <c r="E10" s="77"/>
      <c r="F10" s="74" t="s">
        <v>337</v>
      </c>
      <c r="G10" s="60" t="str">
        <f t="shared" si="0"/>
        <v>PROBLEMA</v>
      </c>
      <c r="H10" s="56">
        <v>0.38000000000000012</v>
      </c>
      <c r="I10" s="59">
        <v>3.2321905146600778E-2</v>
      </c>
      <c r="J10" s="57">
        <v>0.4608036086469921</v>
      </c>
      <c r="K10" s="54">
        <v>1.129574230040155</v>
      </c>
      <c r="L10" s="57">
        <v>2.737091349830477</v>
      </c>
      <c r="M10" s="51" t="s">
        <v>326</v>
      </c>
      <c r="N10" s="49">
        <v>2</v>
      </c>
      <c r="O10" s="47" t="s">
        <v>338</v>
      </c>
      <c r="P10" s="47" t="s">
        <v>339</v>
      </c>
    </row>
    <row r="11" spans="2:19" ht="32.25" customHeight="1" x14ac:dyDescent="0.3">
      <c r="B11" s="77" t="s">
        <v>14</v>
      </c>
      <c r="C11" s="77" t="s">
        <v>407</v>
      </c>
      <c r="D11" s="77"/>
      <c r="E11" s="77"/>
      <c r="F11" s="73" t="s">
        <v>329</v>
      </c>
      <c r="G11" s="50" t="str">
        <f t="shared" si="0"/>
        <v>SATISFACTORIO</v>
      </c>
      <c r="H11" s="61">
        <v>1</v>
      </c>
      <c r="I11" s="53" t="s">
        <v>326</v>
      </c>
      <c r="J11" s="54">
        <v>0.95</v>
      </c>
      <c r="K11" s="53" t="s">
        <v>326</v>
      </c>
      <c r="L11" s="54">
        <v>0.9</v>
      </c>
      <c r="M11" s="49">
        <v>3</v>
      </c>
      <c r="N11" s="49">
        <v>3</v>
      </c>
      <c r="O11" s="47" t="s">
        <v>330</v>
      </c>
      <c r="P11" s="47" t="s">
        <v>326</v>
      </c>
    </row>
    <row r="12" spans="2:19" ht="32.25" customHeight="1" x14ac:dyDescent="0.3">
      <c r="B12" s="77" t="s">
        <v>41</v>
      </c>
      <c r="C12" s="77" t="s">
        <v>408</v>
      </c>
      <c r="D12" s="77"/>
      <c r="E12" s="77"/>
      <c r="F12" s="72" t="s">
        <v>325</v>
      </c>
      <c r="G12" s="50" t="s">
        <v>329</v>
      </c>
      <c r="H12" s="48"/>
      <c r="I12" s="48"/>
      <c r="J12" s="48"/>
      <c r="K12" s="48"/>
      <c r="L12" s="48"/>
      <c r="M12" s="48"/>
      <c r="N12" s="48"/>
      <c r="O12" s="62" t="s">
        <v>340</v>
      </c>
      <c r="P12" s="47" t="s">
        <v>341</v>
      </c>
    </row>
    <row r="13" spans="2:19" ht="32.25" customHeight="1" x14ac:dyDescent="0.3">
      <c r="B13" s="77" t="s">
        <v>342</v>
      </c>
      <c r="C13" s="77" t="s">
        <v>409</v>
      </c>
      <c r="D13" s="79" t="s">
        <v>326</v>
      </c>
      <c r="E13" s="79" t="s">
        <v>326</v>
      </c>
      <c r="F13" s="75" t="s">
        <v>343</v>
      </c>
      <c r="G13" s="63" t="str">
        <f t="shared" si="0"/>
        <v>No indica</v>
      </c>
      <c r="H13" s="63"/>
      <c r="I13" s="63"/>
      <c r="J13" s="63"/>
      <c r="K13" s="63"/>
      <c r="L13" s="63"/>
      <c r="M13" s="63"/>
      <c r="N13" s="63"/>
      <c r="O13" s="62" t="s">
        <v>344</v>
      </c>
      <c r="P13" s="47" t="s">
        <v>341</v>
      </c>
    </row>
    <row r="14" spans="2:19" ht="32.25" customHeight="1" x14ac:dyDescent="0.3">
      <c r="B14" s="77" t="s">
        <v>58</v>
      </c>
      <c r="C14" s="77" t="s">
        <v>410</v>
      </c>
      <c r="D14" s="77"/>
      <c r="E14" s="77"/>
      <c r="F14" s="73" t="s">
        <v>329</v>
      </c>
      <c r="G14" s="50" t="str">
        <f t="shared" si="0"/>
        <v>SATISFACTORIO</v>
      </c>
      <c r="H14" s="50"/>
      <c r="I14" s="50"/>
      <c r="J14" s="50"/>
      <c r="K14" s="50"/>
      <c r="L14" s="50"/>
      <c r="M14" s="50"/>
      <c r="N14" s="50"/>
      <c r="O14" s="62" t="s">
        <v>345</v>
      </c>
      <c r="P14" s="47" t="s">
        <v>346</v>
      </c>
      <c r="R14" s="64"/>
      <c r="S14" s="64"/>
    </row>
  </sheetData>
  <pageMargins left="0.7" right="0.7" top="0.75" bottom="0.75" header="0.3" footer="0.3"/>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4"/>
  <sheetViews>
    <sheetView topLeftCell="A10" workbookViewId="0">
      <selection activeCell="A35" sqref="A35"/>
    </sheetView>
  </sheetViews>
  <sheetFormatPr defaultRowHeight="14.4" x14ac:dyDescent="0.3"/>
  <cols>
    <col min="1" max="1" width="3.6640625" customWidth="1"/>
    <col min="2" max="2" width="15" bestFit="1" customWidth="1"/>
    <col min="3" max="3" width="15" customWidth="1"/>
    <col min="4" max="4" width="36.44140625" customWidth="1"/>
    <col min="5" max="5" width="42" customWidth="1"/>
  </cols>
  <sheetData>
    <row r="2" spans="2:5" x14ac:dyDescent="0.3">
      <c r="B2" t="s">
        <v>347</v>
      </c>
      <c r="C2" t="s">
        <v>348</v>
      </c>
      <c r="D2" t="s">
        <v>1</v>
      </c>
      <c r="E2" t="s">
        <v>349</v>
      </c>
    </row>
    <row r="3" spans="2:5" x14ac:dyDescent="0.3">
      <c r="B3" t="s">
        <v>350</v>
      </c>
      <c r="C3" t="s">
        <v>351</v>
      </c>
      <c r="D3" t="s">
        <v>5</v>
      </c>
      <c r="E3" t="s">
        <v>352</v>
      </c>
    </row>
    <row r="4" spans="2:5" x14ac:dyDescent="0.3">
      <c r="B4" t="s">
        <v>350</v>
      </c>
      <c r="C4" t="s">
        <v>351</v>
      </c>
      <c r="D4" t="s">
        <v>5</v>
      </c>
      <c r="E4" t="s">
        <v>353</v>
      </c>
    </row>
    <row r="5" spans="2:5" x14ac:dyDescent="0.3">
      <c r="B5" t="s">
        <v>350</v>
      </c>
      <c r="C5" t="s">
        <v>351</v>
      </c>
      <c r="D5" t="s">
        <v>5</v>
      </c>
      <c r="E5" t="s">
        <v>354</v>
      </c>
    </row>
    <row r="6" spans="2:5" x14ac:dyDescent="0.3">
      <c r="B6" t="s">
        <v>350</v>
      </c>
      <c r="C6" t="s">
        <v>351</v>
      </c>
      <c r="D6" t="s">
        <v>5</v>
      </c>
      <c r="E6" t="s">
        <v>355</v>
      </c>
    </row>
    <row r="7" spans="2:5" x14ac:dyDescent="0.3">
      <c r="B7" t="s">
        <v>350</v>
      </c>
      <c r="C7" t="s">
        <v>351</v>
      </c>
      <c r="D7" t="s">
        <v>5</v>
      </c>
      <c r="E7" t="s">
        <v>356</v>
      </c>
    </row>
    <row r="8" spans="2:5" x14ac:dyDescent="0.3">
      <c r="B8" t="s">
        <v>350</v>
      </c>
      <c r="C8" t="s">
        <v>351</v>
      </c>
      <c r="D8" t="s">
        <v>5</v>
      </c>
      <c r="E8" t="s">
        <v>357</v>
      </c>
    </row>
    <row r="9" spans="2:5" x14ac:dyDescent="0.3">
      <c r="B9" t="s">
        <v>350</v>
      </c>
      <c r="C9" t="s">
        <v>358</v>
      </c>
      <c r="D9" t="s">
        <v>58</v>
      </c>
      <c r="E9" t="s">
        <v>359</v>
      </c>
    </row>
    <row r="10" spans="2:5" x14ac:dyDescent="0.3">
      <c r="B10" t="s">
        <v>350</v>
      </c>
      <c r="C10" t="s">
        <v>358</v>
      </c>
      <c r="D10" t="s">
        <v>58</v>
      </c>
      <c r="E10" t="s">
        <v>360</v>
      </c>
    </row>
    <row r="11" spans="2:5" x14ac:dyDescent="0.3">
      <c r="B11" t="s">
        <v>350</v>
      </c>
      <c r="C11" t="s">
        <v>358</v>
      </c>
      <c r="D11" t="s">
        <v>58</v>
      </c>
      <c r="E11" t="s">
        <v>361</v>
      </c>
    </row>
    <row r="12" spans="2:5" x14ac:dyDescent="0.3">
      <c r="B12" t="s">
        <v>350</v>
      </c>
      <c r="C12" t="s">
        <v>351</v>
      </c>
      <c r="D12" t="s">
        <v>11</v>
      </c>
      <c r="E12" t="s">
        <v>362</v>
      </c>
    </row>
    <row r="13" spans="2:5" x14ac:dyDescent="0.3">
      <c r="B13" t="s">
        <v>350</v>
      </c>
      <c r="C13" t="s">
        <v>351</v>
      </c>
      <c r="D13" t="s">
        <v>363</v>
      </c>
      <c r="E13" t="s">
        <v>362</v>
      </c>
    </row>
    <row r="14" spans="2:5" x14ac:dyDescent="0.3">
      <c r="B14" t="s">
        <v>350</v>
      </c>
      <c r="C14" t="s">
        <v>358</v>
      </c>
      <c r="D14" t="s">
        <v>41</v>
      </c>
      <c r="E14" t="s">
        <v>364</v>
      </c>
    </row>
    <row r="15" spans="2:5" x14ac:dyDescent="0.3">
      <c r="B15" t="s">
        <v>350</v>
      </c>
      <c r="C15" t="s">
        <v>365</v>
      </c>
      <c r="D15" t="s">
        <v>22</v>
      </c>
      <c r="E15" t="s">
        <v>366</v>
      </c>
    </row>
    <row r="16" spans="2:5" x14ac:dyDescent="0.3">
      <c r="B16" t="s">
        <v>350</v>
      </c>
      <c r="C16" t="s">
        <v>365</v>
      </c>
      <c r="D16" t="s">
        <v>22</v>
      </c>
      <c r="E16" t="s">
        <v>367</v>
      </c>
    </row>
    <row r="17" spans="2:5" x14ac:dyDescent="0.3">
      <c r="B17" t="s">
        <v>350</v>
      </c>
      <c r="C17" t="s">
        <v>365</v>
      </c>
      <c r="D17" t="s">
        <v>22</v>
      </c>
      <c r="E17" t="s">
        <v>368</v>
      </c>
    </row>
    <row r="18" spans="2:5" x14ac:dyDescent="0.3">
      <c r="B18" t="s">
        <v>350</v>
      </c>
      <c r="C18" t="s">
        <v>369</v>
      </c>
      <c r="D18" t="s">
        <v>17</v>
      </c>
      <c r="E18" t="s">
        <v>370</v>
      </c>
    </row>
    <row r="19" spans="2:5" x14ac:dyDescent="0.3">
      <c r="B19" s="14">
        <v>46092</v>
      </c>
      <c r="C19" t="s">
        <v>351</v>
      </c>
      <c r="D19" t="s">
        <v>11</v>
      </c>
      <c r="E19" t="s">
        <v>371</v>
      </c>
    </row>
    <row r="20" spans="2:5" x14ac:dyDescent="0.3">
      <c r="B20" s="14">
        <v>46092</v>
      </c>
      <c r="C20" t="s">
        <v>351</v>
      </c>
      <c r="D20" t="s">
        <v>363</v>
      </c>
      <c r="E20" t="s">
        <v>371</v>
      </c>
    </row>
    <row r="21" spans="2:5" x14ac:dyDescent="0.3">
      <c r="B21" s="14">
        <v>46092</v>
      </c>
      <c r="C21" t="s">
        <v>351</v>
      </c>
      <c r="D21" t="s">
        <v>5</v>
      </c>
      <c r="E21" t="s">
        <v>371</v>
      </c>
    </row>
    <row r="22" spans="2:5" x14ac:dyDescent="0.3">
      <c r="B22" s="14">
        <v>46092</v>
      </c>
      <c r="C22" t="s">
        <v>351</v>
      </c>
      <c r="D22" t="s">
        <v>17</v>
      </c>
      <c r="E22" t="s">
        <v>372</v>
      </c>
    </row>
    <row r="23" spans="2:5" x14ac:dyDescent="0.3">
      <c r="B23" s="14">
        <v>46092</v>
      </c>
      <c r="C23" t="s">
        <v>351</v>
      </c>
      <c r="D23" t="s">
        <v>20</v>
      </c>
      <c r="E23" t="s">
        <v>372</v>
      </c>
    </row>
    <row r="24" spans="2:5" x14ac:dyDescent="0.3">
      <c r="B24" s="14">
        <v>46092</v>
      </c>
      <c r="C24" t="s">
        <v>351</v>
      </c>
      <c r="D24" t="s">
        <v>41</v>
      </c>
      <c r="E24" t="s">
        <v>352</v>
      </c>
    </row>
    <row r="25" spans="2:5" x14ac:dyDescent="0.3">
      <c r="B25" s="14">
        <v>46092</v>
      </c>
      <c r="C25" t="s">
        <v>351</v>
      </c>
      <c r="D25" t="s">
        <v>41</v>
      </c>
      <c r="E25" t="s">
        <v>373</v>
      </c>
    </row>
    <row r="26" spans="2:5" x14ac:dyDescent="0.3">
      <c r="B26" s="14">
        <v>46119</v>
      </c>
      <c r="C26" t="s">
        <v>358</v>
      </c>
      <c r="E26" t="s">
        <v>374</v>
      </c>
    </row>
    <row r="27" spans="2:5" x14ac:dyDescent="0.3">
      <c r="B27" s="14">
        <v>46119</v>
      </c>
      <c r="C27" t="s">
        <v>358</v>
      </c>
      <c r="D27" t="s">
        <v>20</v>
      </c>
      <c r="E27" t="s">
        <v>375</v>
      </c>
    </row>
    <row r="28" spans="2:5" x14ac:dyDescent="0.3">
      <c r="B28" s="14">
        <v>46119</v>
      </c>
      <c r="C28" t="s">
        <v>358</v>
      </c>
      <c r="D28" t="s">
        <v>17</v>
      </c>
      <c r="E28" t="s">
        <v>376</v>
      </c>
    </row>
    <row r="29" spans="2:5" x14ac:dyDescent="0.3">
      <c r="B29" s="14">
        <v>46119</v>
      </c>
      <c r="C29" t="s">
        <v>358</v>
      </c>
      <c r="D29" t="s">
        <v>22</v>
      </c>
      <c r="E29" t="s">
        <v>376</v>
      </c>
    </row>
    <row r="30" spans="2:5" x14ac:dyDescent="0.3">
      <c r="B30" s="14">
        <v>46121</v>
      </c>
      <c r="C30" t="s">
        <v>377</v>
      </c>
      <c r="D30" t="s">
        <v>378</v>
      </c>
      <c r="E30" t="s">
        <v>379</v>
      </c>
    </row>
    <row r="31" spans="2:5" x14ac:dyDescent="0.3">
      <c r="B31" s="14">
        <v>46121</v>
      </c>
      <c r="C31" t="s">
        <v>380</v>
      </c>
      <c r="D31" t="s">
        <v>381</v>
      </c>
      <c r="E31" t="s">
        <v>382</v>
      </c>
    </row>
    <row r="32" spans="2:5" x14ac:dyDescent="0.3">
      <c r="B32" s="14">
        <v>46126</v>
      </c>
      <c r="C32" t="s">
        <v>383</v>
      </c>
      <c r="D32" t="s">
        <v>384</v>
      </c>
      <c r="E32" t="s">
        <v>385</v>
      </c>
    </row>
    <row r="33" spans="2:5" x14ac:dyDescent="0.3">
      <c r="B33" s="14">
        <v>46134</v>
      </c>
      <c r="C33" t="s">
        <v>386</v>
      </c>
      <c r="E33" t="s">
        <v>387</v>
      </c>
    </row>
    <row r="34" spans="2:5" x14ac:dyDescent="0.3">
      <c r="B34" s="14">
        <v>46134</v>
      </c>
      <c r="C34" t="s">
        <v>351</v>
      </c>
      <c r="E34" t="s">
        <v>388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B7" sqref="B7"/>
    </sheetView>
  </sheetViews>
  <sheetFormatPr defaultRowHeight="14.4" x14ac:dyDescent="0.3"/>
  <sheetData>
    <row r="2" spans="2:5" x14ac:dyDescent="0.3">
      <c r="B2" t="s">
        <v>5</v>
      </c>
      <c r="C2" t="s">
        <v>198</v>
      </c>
      <c r="D2" t="s">
        <v>389</v>
      </c>
      <c r="E2" t="s">
        <v>401</v>
      </c>
    </row>
    <row r="3" spans="2:5" x14ac:dyDescent="0.3">
      <c r="B3" t="s">
        <v>5</v>
      </c>
      <c r="C3" t="s">
        <v>196</v>
      </c>
      <c r="D3" t="s">
        <v>389</v>
      </c>
      <c r="E3" t="s">
        <v>401</v>
      </c>
    </row>
    <row r="4" spans="2:5" x14ac:dyDescent="0.3">
      <c r="B4" t="s">
        <v>11</v>
      </c>
      <c r="D4" t="s">
        <v>390</v>
      </c>
      <c r="E4" t="s">
        <v>402</v>
      </c>
    </row>
    <row r="5" spans="2:5" x14ac:dyDescent="0.3">
      <c r="B5" t="s">
        <v>20</v>
      </c>
      <c r="C5" t="s">
        <v>200</v>
      </c>
      <c r="D5" t="s">
        <v>391</v>
      </c>
      <c r="E5" t="s">
        <v>403</v>
      </c>
    </row>
    <row r="6" spans="2:5" x14ac:dyDescent="0.3">
      <c r="B6" t="s">
        <v>25</v>
      </c>
      <c r="C6" t="s">
        <v>214</v>
      </c>
      <c r="D6" t="s">
        <v>392</v>
      </c>
      <c r="E6" t="s">
        <v>404</v>
      </c>
    </row>
    <row r="7" spans="2:5" x14ac:dyDescent="0.3">
      <c r="B7" t="s">
        <v>17</v>
      </c>
      <c r="C7" t="s">
        <v>186</v>
      </c>
      <c r="D7" t="s">
        <v>393</v>
      </c>
      <c r="E7" t="s">
        <v>405</v>
      </c>
    </row>
    <row r="8" spans="2:5" x14ac:dyDescent="0.3">
      <c r="B8" t="s">
        <v>22</v>
      </c>
      <c r="D8" t="s">
        <v>394</v>
      </c>
      <c r="E8" t="s">
        <v>406</v>
      </c>
    </row>
    <row r="9" spans="2:5" x14ac:dyDescent="0.3">
      <c r="B9" t="s">
        <v>14</v>
      </c>
      <c r="D9" t="s">
        <v>395</v>
      </c>
      <c r="E9" t="s">
        <v>407</v>
      </c>
    </row>
    <row r="10" spans="2:5" x14ac:dyDescent="0.3">
      <c r="B10" t="s">
        <v>41</v>
      </c>
      <c r="D10" t="s">
        <v>396</v>
      </c>
      <c r="E10" t="s">
        <v>408</v>
      </c>
    </row>
    <row r="11" spans="2:5" x14ac:dyDescent="0.3">
      <c r="B11" t="s">
        <v>342</v>
      </c>
      <c r="D11" t="s">
        <v>398</v>
      </c>
      <c r="E11" t="s">
        <v>409</v>
      </c>
    </row>
    <row r="12" spans="2:5" x14ac:dyDescent="0.3">
      <c r="B12" t="s">
        <v>58</v>
      </c>
      <c r="D12" t="s">
        <v>397</v>
      </c>
      <c r="E12" t="s">
        <v>410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3.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2026-05-18T20:09:46Z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